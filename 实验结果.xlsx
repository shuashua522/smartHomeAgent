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PyCharm\smartHomeAgent\"/>
    </mc:Choice>
  </mc:AlternateContent>
  <xr:revisionPtr revIDLastSave="0" documentId="13_ncr:1_{5D895920-0DFA-4D0A-BDB7-F602140269C5}" xr6:coauthVersionLast="47" xr6:coauthVersionMax="47" xr10:uidLastSave="{00000000-0000-0000-0000-000000000000}"/>
  <bookViews>
    <workbookView xWindow="-108" yWindow="-108" windowWidth="23256" windowHeight="12720" activeTab="5" xr2:uid="{00000000-000D-0000-FFFF-FFFF00000000}"/>
  </bookViews>
  <sheets>
    <sheet name="测试任务集 (新标签)" sheetId="3" r:id="rId1"/>
    <sheet name="实验结果统计" sheetId="4" r:id="rId2"/>
    <sheet name="our" sheetId="7" r:id="rId3"/>
    <sheet name="sage" sheetId="8" r:id="rId4"/>
    <sheet name="sasha" sheetId="9" r:id="rId5"/>
    <sheet name="雷达图 (百分比) 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6" l="1"/>
  <c r="G12" i="6"/>
  <c r="G11" i="6"/>
  <c r="B11" i="6"/>
  <c r="C11" i="6"/>
  <c r="D11" i="6"/>
  <c r="E11" i="6"/>
  <c r="F11" i="6"/>
  <c r="Q3" i="9"/>
  <c r="Q4" i="9"/>
  <c r="Q5" i="9"/>
  <c r="Q6" i="9"/>
  <c r="Q7" i="9"/>
  <c r="Q8" i="9"/>
  <c r="Q9" i="9"/>
  <c r="Q10" i="9"/>
  <c r="Q52" i="9" s="1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2" i="9"/>
  <c r="L3" i="9"/>
  <c r="L4" i="9"/>
  <c r="L5" i="9"/>
  <c r="L6" i="9"/>
  <c r="L7" i="9"/>
  <c r="L8" i="9"/>
  <c r="L9" i="9"/>
  <c r="L10" i="9"/>
  <c r="L52" i="9" s="1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2" i="9"/>
  <c r="K52" i="9"/>
  <c r="J52" i="9"/>
  <c r="I52" i="9"/>
  <c r="G52" i="9"/>
  <c r="F52" i="9"/>
  <c r="E52" i="9"/>
  <c r="D52" i="9"/>
  <c r="C52" i="9"/>
  <c r="B52" i="9"/>
  <c r="O52" i="9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52" i="8" s="1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2" i="8"/>
  <c r="O3" i="8"/>
  <c r="O4" i="8"/>
  <c r="O5" i="8"/>
  <c r="O6" i="8"/>
  <c r="O7" i="8"/>
  <c r="O8" i="8"/>
  <c r="O9" i="8"/>
  <c r="O10" i="8"/>
  <c r="O52" i="8" s="1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2" i="8"/>
  <c r="N3" i="8"/>
  <c r="N52" i="8" s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2" i="8"/>
  <c r="K52" i="8"/>
  <c r="J52" i="8"/>
  <c r="I52" i="8"/>
  <c r="G52" i="8"/>
  <c r="F52" i="8"/>
  <c r="E52" i="8"/>
  <c r="D52" i="8"/>
  <c r="C52" i="8"/>
  <c r="B52" i="8"/>
  <c r="M52" i="8"/>
  <c r="L52" i="8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2" i="7"/>
  <c r="O2" i="7"/>
  <c r="O3" i="7"/>
  <c r="O4" i="7"/>
  <c r="O52" i="7" s="1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N3" i="7"/>
  <c r="N4" i="7"/>
  <c r="N5" i="7"/>
  <c r="N6" i="7"/>
  <c r="N7" i="7"/>
  <c r="N8" i="7"/>
  <c r="N9" i="7"/>
  <c r="N10" i="7"/>
  <c r="N52" i="7" s="1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2" i="7"/>
  <c r="L52" i="7"/>
  <c r="M52" i="7"/>
  <c r="P52" i="7"/>
  <c r="Q5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2" i="7"/>
  <c r="L44" i="7"/>
  <c r="L45" i="7"/>
  <c r="L46" i="7"/>
  <c r="L47" i="7"/>
  <c r="L48" i="7"/>
  <c r="L49" i="7"/>
  <c r="L50" i="7"/>
  <c r="L51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2" i="7"/>
  <c r="K52" i="7"/>
  <c r="J52" i="7"/>
  <c r="I52" i="7"/>
  <c r="G52" i="7"/>
  <c r="F52" i="7"/>
  <c r="E52" i="7"/>
  <c r="D52" i="7"/>
  <c r="C52" i="7"/>
  <c r="B52" i="7"/>
  <c r="P52" i="9" l="1"/>
  <c r="N52" i="9"/>
  <c r="M52" i="9"/>
  <c r="P52" i="8"/>
  <c r="F13" i="6" l="1"/>
  <c r="E13" i="6"/>
  <c r="D13" i="6"/>
  <c r="C13" i="6"/>
  <c r="B13" i="6"/>
  <c r="F12" i="6"/>
  <c r="E12" i="6"/>
  <c r="D12" i="6"/>
  <c r="C12" i="6"/>
  <c r="B12" i="6"/>
  <c r="C52" i="4" l="1"/>
  <c r="D52" i="4"/>
  <c r="B52" i="4"/>
  <c r="B52" i="3"/>
  <c r="G52" i="3"/>
  <c r="F52" i="3"/>
  <c r="E52" i="3"/>
  <c r="D52" i="3"/>
  <c r="C52" i="3"/>
</calcChain>
</file>

<file path=xl/sharedStrings.xml><?xml version="1.0" encoding="utf-8"?>
<sst xmlns="http://schemas.openxmlformats.org/spreadsheetml/2006/main" count="1545" uniqueCount="153">
  <si>
    <t>1. 网络状况</t>
  </si>
  <si>
    <t>持久化</t>
    <phoneticPr fontId="1" type="noConversion"/>
  </si>
  <si>
    <t>直接命令</t>
    <phoneticPr fontId="1" type="noConversion"/>
  </si>
  <si>
    <t>√</t>
  </si>
  <si>
    <t>√</t>
    <phoneticPr fontId="1" type="noConversion"/>
  </si>
  <si>
    <t>灯泡（三个灯泡，两个房间和客厅各一个）</t>
    <phoneticPr fontId="1" type="noConversion"/>
  </si>
  <si>
    <t>台灯（卧室一个，书房一个）</t>
    <phoneticPr fontId="1" type="noConversion"/>
  </si>
  <si>
    <t>音箱（一个，客厅）</t>
    <phoneticPr fontId="1" type="noConversion"/>
  </si>
  <si>
    <t>人体传感器（三个，两个房间的入口）</t>
    <phoneticPr fontId="1" type="noConversion"/>
  </si>
  <si>
    <t>门窗传感器（两个，进家的门上和客厅窗户）</t>
    <phoneticPr fontId="1" type="noConversion"/>
  </si>
  <si>
    <t>网关（一个，在客厅）</t>
    <phoneticPr fontId="1" type="noConversion"/>
  </si>
  <si>
    <t>设备：</t>
    <phoneticPr fontId="1" type="noConversion"/>
  </si>
  <si>
    <t>插座（两个，一个连着加湿器、一个连着风扇）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</si>
  <si>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房间：</t>
    </r>
    <r>
      <rPr>
        <sz val="11"/>
        <color theme="1"/>
        <rFont val="等线"/>
        <family val="2"/>
        <scheme val="minor"/>
      </rPr>
      <t>两室（一个做书房、一个做卧室）一厅</t>
    </r>
    <phoneticPr fontId="1" type="noConversion"/>
  </si>
  <si>
    <t>2. 所有的灯都亮了吗？</t>
  </si>
  <si>
    <t>3. 关闭所有灯光。</t>
  </si>
  <si>
    <t>4. 人体传感器需要换电池了吗？</t>
  </si>
  <si>
    <t>5. 关掉音乐。</t>
  </si>
  <si>
    <t>6. 将整个房子变暗</t>
  </si>
  <si>
    <t>7. 切换下一首歌</t>
  </si>
  <si>
    <t>8. 音量下调2%</t>
  </si>
  <si>
    <t>9. 打开电台</t>
  </si>
  <si>
    <t>10. 暂停播放</t>
  </si>
  <si>
    <t>11. 刚刚那首歌听着不错，我想再听一遍</t>
  </si>
  <si>
    <t>12. 放一首英文歌</t>
  </si>
  <si>
    <t>需要的记忆</t>
    <phoneticPr fontId="1" type="noConversion"/>
  </si>
  <si>
    <t>13. 播放晴天，关闭卧室灯。</t>
    <phoneticPr fontId="1" type="noConversion"/>
  </si>
  <si>
    <t>（需要知道卧室灯是哪一个）</t>
  </si>
  <si>
    <t>14. 调高音箱音量，并把客厅灯调暗。</t>
    <phoneticPr fontId="1" type="noConversion"/>
  </si>
  <si>
    <t>（需要知道客厅灯）</t>
  </si>
  <si>
    <t>（需要知道客厅灯）</t>
    <phoneticPr fontId="1" type="noConversion"/>
  </si>
  <si>
    <t>50. 哦，今天天气真好。</t>
    <phoneticPr fontId="1" type="noConversion"/>
  </si>
  <si>
    <t>49. 帮我配置下网关的勿扰模式。</t>
    <phoneticPr fontId="1" type="noConversion"/>
  </si>
  <si>
    <t>（需要知道用户对网关勿扰模式的偏好）：例如：晚上10点-早上7点</t>
    <phoneticPr fontId="1" type="noConversion"/>
  </si>
  <si>
    <t>（需要知道用户在此情景下会做什么？）：例如，提醒用户开门开窗</t>
    <phoneticPr fontId="1" type="noConversion"/>
  </si>
  <si>
    <t>47. 现在是周六晚上了，明天记得叫我起床。</t>
    <phoneticPr fontId="1" type="noConversion"/>
  </si>
  <si>
    <t>（需要知道用户周日起床习惯，用什么设备可以定闹钟）：例如早上9点起，用音箱设置闹钟</t>
    <phoneticPr fontId="1" type="noConversion"/>
  </si>
  <si>
    <t>46. 有点睡不着，我打算睡前看点资料。</t>
    <phoneticPr fontId="1" type="noConversion"/>
  </si>
  <si>
    <t>（需要知道用户睡前看东西的偏好）：例如关闭房间灯泡，床边台灯亮度为某一亮度较低值</t>
    <phoneticPr fontId="1" type="noConversion"/>
  </si>
  <si>
    <t>45. 我要在客厅沙发上午睡一会。</t>
    <phoneticPr fontId="1" type="noConversion"/>
  </si>
  <si>
    <t>（需要知道用户在客厅沙发午睡时的设备偏好）：例如提醒用户开窗，关闭风扇，打开音箱、音量较低</t>
    <phoneticPr fontId="1" type="noConversion"/>
  </si>
  <si>
    <t>44. 关闭氛围组设备。</t>
    <phoneticPr fontId="1" type="noConversion"/>
  </si>
  <si>
    <t>（需要知道哪些是氛围组设备）：例如书房的灯泡和台灯构成氛围组设备</t>
    <phoneticPr fontId="1" type="noConversion"/>
  </si>
  <si>
    <t>43. 为家里营造万圣节气氛。</t>
    <phoneticPr fontId="1" type="noConversion"/>
  </si>
  <si>
    <t>（需要知道用户喜欢的万圣节风格是怎样的）：例如灯泡都打开，使用极低亮度的暖光</t>
    <phoneticPr fontId="1" type="noConversion"/>
  </si>
  <si>
    <t>42. 网关如果连的不是我的网络，把所有灯关掉，然后再打开，吓吓他。</t>
    <phoneticPr fontId="1" type="noConversion"/>
  </si>
  <si>
    <t>（需要知道用户自己的网络是什么）：例如告知用户的网络名称为sori</t>
    <phoneticPr fontId="1" type="noConversion"/>
  </si>
  <si>
    <t>40. 我回家了。</t>
    <phoneticPr fontId="1" type="noConversion"/>
  </si>
  <si>
    <t>（需要知道回家时的设备使用习惯）：例如打开卧室和客厅灯泡，亮度中等</t>
    <phoneticPr fontId="1" type="noConversion"/>
  </si>
  <si>
    <t>39. 将客厅灯调至我最喜欢的色温。</t>
    <phoneticPr fontId="1" type="noConversion"/>
  </si>
  <si>
    <t>（需要知道客厅灯，用户喜欢的色温）：例如3500k</t>
    <phoneticPr fontId="1" type="noConversion"/>
  </si>
  <si>
    <t>38. 我要开始看书了，把灯调到合适模式。</t>
    <phoneticPr fontId="1" type="noConversion"/>
  </si>
  <si>
    <t>（需要知道看书时的灯光习惯，使用的灯是什么）：例如只开书房的台灯，而不使用灯泡，亮度中等</t>
    <phoneticPr fontId="1" type="noConversion"/>
  </si>
  <si>
    <t>37. 准备出门。关闭所有非必要的设备。</t>
    <phoneticPr fontId="1" type="noConversion"/>
  </si>
  <si>
    <t>（需要知道哪些是不能关的设备）：例如空气加湿器不用关，其他的能关都关了</t>
    <phoneticPr fontId="1" type="noConversion"/>
  </si>
  <si>
    <t>35. 我正在接电话，调一下音箱的音量。</t>
    <phoneticPr fontId="1" type="noConversion"/>
  </si>
  <si>
    <t>（需要知道接电话时的音箱音量）：例如接电话时，音箱静音</t>
    <phoneticPr fontId="1" type="noConversion"/>
  </si>
  <si>
    <t>34. 我要睡觉了。</t>
    <phoneticPr fontId="1" type="noConversion"/>
  </si>
  <si>
    <t>（需要知道睡觉时的设备使用习惯）：例如关闭所有灯</t>
    <phoneticPr fontId="1" type="noConversion"/>
  </si>
  <si>
    <t>33. 打开书房灯。</t>
    <phoneticPr fontId="1" type="noConversion"/>
  </si>
  <si>
    <t>（需要知道书房灯指哪一个，使用习惯）：例如用户用书房灯指代灯泡，亮度一般中等偏暖</t>
    <phoneticPr fontId="1" type="noConversion"/>
  </si>
  <si>
    <t>32. 太安静了，放点音乐。</t>
    <phoneticPr fontId="1" type="noConversion"/>
  </si>
  <si>
    <t>（需要知道喜欢的音乐，音量大小）：例如周杰伦的歌，音量15</t>
    <phoneticPr fontId="1" type="noConversion"/>
  </si>
  <si>
    <t>31. 如果5分钟没有检测到有人走动，就关闭所有灯。</t>
    <phoneticPr fontId="1" type="noConversion"/>
  </si>
  <si>
    <t>（需要知道家中的人体传感器）</t>
  </si>
  <si>
    <t>30. 当床边灯打开时，关闭其他所有灯。</t>
    <phoneticPr fontId="1" type="noConversion"/>
  </si>
  <si>
    <t>（需要知道床边灯）</t>
  </si>
  <si>
    <t>29. 如果客厅窗户打开超过 30 分钟，通知我。</t>
    <phoneticPr fontId="1" type="noConversion"/>
  </si>
  <si>
    <t>（需要知道客厅的门窗传感器）</t>
  </si>
  <si>
    <t>28. 天黑时，如果窗户没关，告诉我。</t>
    <phoneticPr fontId="1" type="noConversion"/>
  </si>
  <si>
    <t>27. 当我进入卧室时，如果很暗，打开灯。</t>
    <phoneticPr fontId="1" type="noConversion"/>
  </si>
  <si>
    <t>（需要知道卧室的人体传感器）</t>
  </si>
  <si>
    <t>26. 当我回家时，打开客厅灯。</t>
    <phoneticPr fontId="1" type="noConversion"/>
  </si>
  <si>
    <t>（需要知道进家门上的门窗传感器）</t>
  </si>
  <si>
    <t>25. 关闭客厅灯，但保持网关灯亮着。</t>
    <phoneticPr fontId="1" type="noConversion"/>
  </si>
  <si>
    <t>24. 打开书房所有灯，但灯泡要暗一点。</t>
    <phoneticPr fontId="1" type="noConversion"/>
  </si>
  <si>
    <t>（需要知道书房的灯有哪些）</t>
    <phoneticPr fontId="1" type="noConversion"/>
  </si>
  <si>
    <t>23. 我回家后，把门关了吗？</t>
    <phoneticPr fontId="1" type="noConversion"/>
  </si>
  <si>
    <t>（需要知道进家的门上的门窗传感器）</t>
  </si>
  <si>
    <t>22. 床边灯太亮了，调暗到当前值的1/3。</t>
    <phoneticPr fontId="1" type="noConversion"/>
  </si>
  <si>
    <t>（需要知道床边灯是哪一个）</t>
  </si>
  <si>
    <t>21. 有点热了。</t>
    <phoneticPr fontId="1" type="noConversion"/>
  </si>
  <si>
    <t>（需要知道风扇连接的插座）</t>
  </si>
  <si>
    <t>20. 空气太干燥了。</t>
    <phoneticPr fontId="1" type="noConversion"/>
  </si>
  <si>
    <t>（需要知道加湿器连接的插座）</t>
  </si>
  <si>
    <t>19. 把客厅灯调暖一点。</t>
    <phoneticPr fontId="1" type="noConversion"/>
  </si>
  <si>
    <t>18. 把客厅灯亮度调到50%。</t>
    <phoneticPr fontId="1" type="noConversion"/>
  </si>
  <si>
    <t>17. 客厅窗户关了吗？</t>
    <phoneticPr fontId="1" type="noConversion"/>
  </si>
  <si>
    <t>（需要知道客厅窗户的门窗传感器）</t>
  </si>
  <si>
    <t>16. 客厅很暗吗？</t>
    <phoneticPr fontId="1" type="noConversion"/>
  </si>
  <si>
    <t>（需要知道客厅能检测光照强度的设备）</t>
  </si>
  <si>
    <t>15. 把书房灯关掉，打开卧室灯。</t>
    <phoneticPr fontId="1" type="noConversion"/>
  </si>
  <si>
    <t>（需要知道书房灯和卧室灯）</t>
  </si>
  <si>
    <t>记忆</t>
    <phoneticPr fontId="1" type="noConversion"/>
  </si>
  <si>
    <t>设备筛选</t>
    <phoneticPr fontId="1" type="noConversion"/>
  </si>
  <si>
    <t>计划</t>
    <phoneticPr fontId="1" type="noConversion"/>
  </si>
  <si>
    <t>设备说明</t>
    <phoneticPr fontId="1" type="noConversion"/>
  </si>
  <si>
    <t>标签说明</t>
    <phoneticPr fontId="1" type="noConversion"/>
  </si>
  <si>
    <t>直接命令：不需要记忆，命令对应的设备唯一或者包含全部设备。而且要执行的动作也不需要根据用户偏好来处理，比如音量下调2%</t>
    <phoneticPr fontId="1" type="noConversion"/>
  </si>
  <si>
    <t>记忆：对应与直接命令，需要记住用户偏好，设备位置信息</t>
    <phoneticPr fontId="1" type="noConversion"/>
  </si>
  <si>
    <t>持久化：需要持续监控的命令</t>
    <phoneticPr fontId="1" type="noConversion"/>
  </si>
  <si>
    <t>执行验证：</t>
    <phoneticPr fontId="1" type="noConversion"/>
  </si>
  <si>
    <t>设备筛选：一种是命令中指明了设备，并且包含了设备的约束信息；一种是很模糊的命令，会提供候选设备给规划决定</t>
    <phoneticPr fontId="1" type="noConversion"/>
  </si>
  <si>
    <t>计划：能够根据用户偏好、在多个设备的情况下规划各自应该做什么</t>
    <phoneticPr fontId="1" type="noConversion"/>
  </si>
  <si>
    <t>执行验证</t>
    <phoneticPr fontId="1" type="noConversion"/>
  </si>
  <si>
    <t>当书房灯亮度超过50%时，关闭台灯</t>
    <phoneticPr fontId="1" type="noConversion"/>
  </si>
  <si>
    <t>当床边灯亮度低于10%，降低卧室灯亮度，并且调暖</t>
    <phoneticPr fontId="1" type="noConversion"/>
  </si>
  <si>
    <t>当音箱静音时，关闭风扇</t>
    <phoneticPr fontId="1" type="noConversion"/>
  </si>
  <si>
    <t>sasha</t>
    <phoneticPr fontId="1" type="noConversion"/>
  </si>
  <si>
    <t>sage</t>
    <phoneticPr fontId="1" type="noConversion"/>
  </si>
  <si>
    <t>our</t>
    <phoneticPr fontId="1" type="noConversion"/>
  </si>
  <si>
    <t>ID传递错误</t>
    <phoneticPr fontId="1" type="noConversion"/>
  </si>
  <si>
    <t>未执行</t>
    <phoneticPr fontId="1" type="noConversion"/>
  </si>
  <si>
    <t>缺失记忆</t>
    <phoneticPr fontId="1" type="noConversion"/>
  </si>
  <si>
    <t>未编写代码持久监控</t>
    <phoneticPr fontId="1" type="noConversion"/>
  </si>
  <si>
    <t>执行错误</t>
    <phoneticPr fontId="1" type="noConversion"/>
  </si>
  <si>
    <t>调用错误</t>
    <phoneticPr fontId="1" type="noConversion"/>
  </si>
  <si>
    <t>两个台灯都开了</t>
    <phoneticPr fontId="1" type="noConversion"/>
  </si>
  <si>
    <t>未符合偏好</t>
    <phoneticPr fontId="1" type="noConversion"/>
  </si>
  <si>
    <t>未检索出正确设备</t>
    <phoneticPr fontId="1" type="noConversion"/>
  </si>
  <si>
    <t>未正确执行</t>
    <phoneticPr fontId="1" type="noConversion"/>
  </si>
  <si>
    <t>未用到记忆</t>
    <phoneticPr fontId="1" type="noConversion"/>
  </si>
  <si>
    <t>记忆检索错误</t>
    <phoneticPr fontId="1" type="noConversion"/>
  </si>
  <si>
    <t>未检索出设备位置</t>
  </si>
  <si>
    <t>未检索出设备位置</t>
    <phoneticPr fontId="1" type="noConversion"/>
  </si>
  <si>
    <t>两个都调暗了</t>
    <phoneticPr fontId="1" type="noConversion"/>
  </si>
  <si>
    <t>设备选错</t>
    <phoneticPr fontId="1" type="noConversion"/>
  </si>
  <si>
    <t>多关插座</t>
    <phoneticPr fontId="1" type="noConversion"/>
  </si>
  <si>
    <t xml:space="preserve"> 哦，今天天气真好。</t>
    <phoneticPr fontId="1" type="noConversion"/>
  </si>
  <si>
    <t xml:space="preserve"> 帮我配置下网关的勿扰模式。</t>
    <phoneticPr fontId="1" type="noConversion"/>
  </si>
  <si>
    <t xml:space="preserve"> 现在是周六晚上了，明天记得叫我起床。</t>
    <phoneticPr fontId="1" type="noConversion"/>
  </si>
  <si>
    <t xml:space="preserve"> 有点睡不着，我打算睡前看点资料。</t>
    <phoneticPr fontId="1" type="noConversion"/>
  </si>
  <si>
    <t>我要在客厅沙发上午睡一会。</t>
    <phoneticPr fontId="1" type="noConversion"/>
  </si>
  <si>
    <t>关闭氛围组设备。</t>
    <phoneticPr fontId="1" type="noConversion"/>
  </si>
  <si>
    <t>为家里营造万圣节气氛。</t>
    <phoneticPr fontId="1" type="noConversion"/>
  </si>
  <si>
    <t>网关如果连的不是我的网络，把所有灯关掉，然后再打开，吓吓他。</t>
    <phoneticPr fontId="1" type="noConversion"/>
  </si>
  <si>
    <t>太安静了，放点音乐。</t>
    <phoneticPr fontId="1" type="noConversion"/>
  </si>
  <si>
    <t>打开书房灯。</t>
    <phoneticPr fontId="1" type="noConversion"/>
  </si>
  <si>
    <t>我要睡觉了。</t>
    <phoneticPr fontId="1" type="noConversion"/>
  </si>
  <si>
    <t>我正在接电话，调一下音箱的音量。</t>
    <phoneticPr fontId="1" type="noConversion"/>
  </si>
  <si>
    <t>准备出门。关闭所有非必要的设备。</t>
    <phoneticPr fontId="1" type="noConversion"/>
  </si>
  <si>
    <t>我要开始看书了，把灯调到合适模式。</t>
    <phoneticPr fontId="1" type="noConversion"/>
  </si>
  <si>
    <t>将客厅灯调至我最喜欢的色温。</t>
    <phoneticPr fontId="1" type="noConversion"/>
  </si>
  <si>
    <t>我回家了。</t>
    <phoneticPr fontId="1" type="noConversion"/>
  </si>
  <si>
    <t>百分比结果</t>
    <phoneticPr fontId="1" type="noConversion"/>
  </si>
  <si>
    <t>Sasha</t>
    <phoneticPr fontId="1" type="noConversion"/>
  </si>
  <si>
    <t>SAGE</t>
    <phoneticPr fontId="1" type="noConversion"/>
  </si>
  <si>
    <t>Direct Command</t>
  </si>
  <si>
    <t>Memory</t>
  </si>
  <si>
    <t>Device Filtering</t>
  </si>
  <si>
    <t>Scheduling</t>
  </si>
  <si>
    <t>Persistence</t>
  </si>
  <si>
    <t>Execution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</si>
</sst>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'雷达图 (百分比) '!$A$2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'雷达图 (百分比) '!$B$1:$G$1</c:f>
              <c:strCache>
                <c:ptCount val="6"/>
                <c:pt idx="0">
                  <c:v>Direct Command</c:v>
                </c:pt>
                <c:pt idx="1">
                  <c:v>Memory</c:v>
                </c:pt>
                <c:pt idx="2">
                  <c:v>Device Filtering</c:v>
                </c:pt>
                <c:pt idx="3">
                  <c:v>Scheduling</c:v>
                </c:pt>
                <c:pt idx="4">
                  <c:v>Persistence</c:v>
                </c:pt>
                <c:pt idx="5">
                  <c:v>Execution Verification</c:v>
                </c:pt>
              </c:strCache>
            </c:strRef>
          </c:cat>
          <c:val>
            <c:numRef>
              <c:f>'雷达图 (百分比) '!$B$2:$G$2</c:f>
              <c:numCache>
                <c:formatCode>General</c:formatCode>
                <c:ptCount val="6"/>
                <c:pt idx="0">
                  <c:v>83.333333333333343</c:v>
                </c:pt>
                <c:pt idx="1">
                  <c:v>55.26315789473685</c:v>
                </c:pt>
                <c:pt idx="2">
                  <c:v>71.428571428571431</c:v>
                </c:pt>
                <c:pt idx="3">
                  <c:v>37.5</c:v>
                </c:pt>
                <c:pt idx="4">
                  <c:v>66.666666666666657</c:v>
                </c:pt>
                <c:pt idx="5">
                  <c:v>54.54545454545454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6-4352-B7B6-608112C9892E}"/>
            </c:ext>
          </c:extLst>
        </c:ser>
        <c:ser>
          <c:idx val="1"/>
          <c:order val="1"/>
          <c:tx>
            <c:strRef>
              <c:f>'雷达图 (百分比) '!$A$3</c:f>
              <c:strCache>
                <c:ptCount val="1"/>
                <c:pt idx="0">
                  <c:v>Sasha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'雷达图 (百分比) '!$B$1:$G$1</c:f>
              <c:strCache>
                <c:ptCount val="6"/>
                <c:pt idx="0">
                  <c:v>Direct Command</c:v>
                </c:pt>
                <c:pt idx="1">
                  <c:v>Memory</c:v>
                </c:pt>
                <c:pt idx="2">
                  <c:v>Device Filtering</c:v>
                </c:pt>
                <c:pt idx="3">
                  <c:v>Scheduling</c:v>
                </c:pt>
                <c:pt idx="4">
                  <c:v>Persistence</c:v>
                </c:pt>
                <c:pt idx="5">
                  <c:v>Execution Verification</c:v>
                </c:pt>
              </c:strCache>
            </c:strRef>
          </c:cat>
          <c:val>
            <c:numRef>
              <c:f>'雷达图 (百分比) '!$B$3:$G$3</c:f>
              <c:numCache>
                <c:formatCode>General</c:formatCode>
                <c:ptCount val="6"/>
                <c:pt idx="0">
                  <c:v>83.333333333333343</c:v>
                </c:pt>
                <c:pt idx="1">
                  <c:v>23.684210526315788</c:v>
                </c:pt>
                <c:pt idx="2">
                  <c:v>9.5238095238095237</c:v>
                </c:pt>
                <c:pt idx="3">
                  <c:v>37.5</c:v>
                </c:pt>
                <c:pt idx="4">
                  <c:v>11.111111111111111</c:v>
                </c:pt>
                <c:pt idx="5">
                  <c:v>27.27272727272727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6-4352-B7B6-608112C9892E}"/>
            </c:ext>
          </c:extLst>
        </c:ser>
        <c:ser>
          <c:idx val="2"/>
          <c:order val="2"/>
          <c:tx>
            <c:strRef>
              <c:f>'雷达图 (百分比) '!$A$4</c:f>
              <c:strCache>
                <c:ptCount val="1"/>
                <c:pt idx="0">
                  <c:v>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'雷达图 (百分比) '!$B$1:$G$1</c:f>
              <c:strCache>
                <c:ptCount val="6"/>
                <c:pt idx="0">
                  <c:v>Direct Command</c:v>
                </c:pt>
                <c:pt idx="1">
                  <c:v>Memory</c:v>
                </c:pt>
                <c:pt idx="2">
                  <c:v>Device Filtering</c:v>
                </c:pt>
                <c:pt idx="3">
                  <c:v>Scheduling</c:v>
                </c:pt>
                <c:pt idx="4">
                  <c:v>Persistence</c:v>
                </c:pt>
                <c:pt idx="5">
                  <c:v>Execution Verification</c:v>
                </c:pt>
              </c:strCache>
            </c:strRef>
          </c:cat>
          <c:val>
            <c:numRef>
              <c:f>'雷达图 (百分比) '!$B$4:$G$4</c:f>
              <c:numCache>
                <c:formatCode>General</c:formatCode>
                <c:ptCount val="6"/>
                <c:pt idx="0">
                  <c:v>66.666666666666657</c:v>
                </c:pt>
                <c:pt idx="1">
                  <c:v>5.2631578947368416</c:v>
                </c:pt>
                <c:pt idx="2">
                  <c:v>4.7619047619047619</c:v>
                </c:pt>
                <c:pt idx="3">
                  <c:v>6.25</c:v>
                </c:pt>
                <c:pt idx="4">
                  <c:v>0</c:v>
                </c:pt>
                <c:pt idx="5">
                  <c:v>27.27272727272727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6-4352-B7B6-608112C9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5</xdr:row>
      <xdr:rowOff>80010</xdr:rowOff>
    </xdr:from>
    <xdr:to>
      <xdr:col>17</xdr:col>
      <xdr:colOff>464820</xdr:colOff>
      <xdr:row>25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2D6AB8-CFF7-4E7E-A909-370D3842B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FFEF-CAEA-4331-A7F7-B8B689D96B1A}">
  <dimension ref="A1:J52"/>
  <sheetViews>
    <sheetView workbookViewId="0">
      <pane ySplit="1" topLeftCell="A44" activePane="bottomLeft" state="frozen"/>
      <selection pane="bottomLeft" activeCell="B52" sqref="B52:G52"/>
    </sheetView>
  </sheetViews>
  <sheetFormatPr defaultRowHeight="13.8" x14ac:dyDescent="0.25"/>
  <cols>
    <col min="1" max="1" width="31.77734375" style="2" customWidth="1"/>
    <col min="2" max="2" width="15.21875" style="2" customWidth="1"/>
    <col min="3" max="3" width="13.109375" style="2" customWidth="1"/>
    <col min="4" max="4" width="13.21875" style="2" customWidth="1"/>
    <col min="5" max="5" width="12.6640625" customWidth="1"/>
    <col min="6" max="6" width="13.33203125" customWidth="1"/>
    <col min="7" max="7" width="10.33203125" customWidth="1"/>
    <col min="8" max="8" width="31.21875" style="3" customWidth="1"/>
    <col min="9" max="9" width="30" style="3" customWidth="1"/>
    <col min="10" max="10" width="31.77734375" style="3" customWidth="1"/>
  </cols>
  <sheetData>
    <row r="1" spans="1:10" x14ac:dyDescent="0.25">
      <c r="A1" s="1"/>
      <c r="B1" s="1" t="s">
        <v>2</v>
      </c>
      <c r="C1" s="1" t="s">
        <v>93</v>
      </c>
      <c r="D1" s="1" t="s">
        <v>94</v>
      </c>
      <c r="E1" t="s">
        <v>95</v>
      </c>
      <c r="F1" t="s">
        <v>1</v>
      </c>
      <c r="G1" t="s">
        <v>104</v>
      </c>
      <c r="H1" s="3" t="s">
        <v>25</v>
      </c>
      <c r="I1" s="3" t="s">
        <v>97</v>
      </c>
      <c r="J1" s="3" t="s">
        <v>96</v>
      </c>
    </row>
    <row r="2" spans="1:10" x14ac:dyDescent="0.25">
      <c r="A2" s="6" t="s">
        <v>0</v>
      </c>
      <c r="B2" s="6" t="s">
        <v>3</v>
      </c>
      <c r="C2" s="1"/>
      <c r="D2" s="1"/>
    </row>
    <row r="3" spans="1:10" ht="69" x14ac:dyDescent="0.25">
      <c r="A3" s="6" t="s">
        <v>14</v>
      </c>
      <c r="B3" s="6" t="s">
        <v>4</v>
      </c>
      <c r="C3" s="1"/>
      <c r="D3" s="1"/>
      <c r="G3" t="s">
        <v>4</v>
      </c>
      <c r="I3" s="3" t="s">
        <v>98</v>
      </c>
    </row>
    <row r="4" spans="1:10" ht="27.6" x14ac:dyDescent="0.25">
      <c r="A4" s="6" t="s">
        <v>15</v>
      </c>
      <c r="B4" s="6" t="s">
        <v>3</v>
      </c>
      <c r="C4"/>
      <c r="D4" s="1"/>
      <c r="G4" t="s">
        <v>4</v>
      </c>
      <c r="I4" s="3" t="s">
        <v>99</v>
      </c>
    </row>
    <row r="5" spans="1:10" ht="56.4" customHeight="1" x14ac:dyDescent="0.25">
      <c r="A5" s="6" t="s">
        <v>16</v>
      </c>
      <c r="B5" s="6" t="s">
        <v>3</v>
      </c>
      <c r="C5" s="1"/>
      <c r="D5" s="1"/>
      <c r="I5" s="7" t="s">
        <v>102</v>
      </c>
      <c r="J5" s="5" t="s">
        <v>13</v>
      </c>
    </row>
    <row r="6" spans="1:10" ht="41.4" x14ac:dyDescent="0.25">
      <c r="A6" s="6" t="s">
        <v>17</v>
      </c>
      <c r="B6" s="6" t="s">
        <v>3</v>
      </c>
      <c r="C6" s="1"/>
      <c r="D6"/>
      <c r="I6" s="3" t="s">
        <v>103</v>
      </c>
      <c r="J6" s="4" t="s">
        <v>11</v>
      </c>
    </row>
    <row r="7" spans="1:10" ht="44.4" customHeight="1" x14ac:dyDescent="0.25">
      <c r="A7" s="6" t="s">
        <v>18</v>
      </c>
      <c r="B7" s="6" t="s">
        <v>3</v>
      </c>
      <c r="C7"/>
      <c r="D7" s="1"/>
      <c r="G7" t="s">
        <v>4</v>
      </c>
      <c r="I7" s="3" t="s">
        <v>100</v>
      </c>
      <c r="J7" s="3" t="s">
        <v>5</v>
      </c>
    </row>
    <row r="8" spans="1:10" ht="19.8" customHeight="1" x14ac:dyDescent="0.25">
      <c r="A8" s="6" t="s">
        <v>19</v>
      </c>
      <c r="B8" s="6" t="s">
        <v>3</v>
      </c>
      <c r="C8" s="1"/>
      <c r="D8" s="1"/>
      <c r="I8" s="3" t="s">
        <v>101</v>
      </c>
      <c r="J8" s="3" t="s">
        <v>6</v>
      </c>
    </row>
    <row r="9" spans="1:10" ht="28.8" customHeight="1" x14ac:dyDescent="0.25">
      <c r="A9" s="6" t="s">
        <v>20</v>
      </c>
      <c r="B9" s="6" t="s">
        <v>3</v>
      </c>
      <c r="D9" s="1"/>
      <c r="J9" s="3" t="s">
        <v>7</v>
      </c>
    </row>
    <row r="10" spans="1:10" ht="28.2" customHeight="1" x14ac:dyDescent="0.25">
      <c r="A10" s="6" t="s">
        <v>21</v>
      </c>
      <c r="B10" s="6" t="s">
        <v>3</v>
      </c>
      <c r="C10" s="1"/>
      <c r="D10" s="1"/>
      <c r="J10" s="3" t="s">
        <v>8</v>
      </c>
    </row>
    <row r="11" spans="1:10" ht="27.6" customHeight="1" x14ac:dyDescent="0.25">
      <c r="A11" s="6" t="s">
        <v>22</v>
      </c>
      <c r="B11" s="6" t="s">
        <v>3</v>
      </c>
      <c r="C11" s="1"/>
      <c r="D11"/>
      <c r="J11" s="3" t="s">
        <v>9</v>
      </c>
    </row>
    <row r="12" spans="1:10" ht="31.8" customHeight="1" x14ac:dyDescent="0.25">
      <c r="A12" s="6" t="s">
        <v>23</v>
      </c>
      <c r="B12" s="6" t="s">
        <v>3</v>
      </c>
      <c r="C12"/>
      <c r="D12"/>
      <c r="J12" s="3" t="s">
        <v>10</v>
      </c>
    </row>
    <row r="13" spans="1:10" ht="32.4" customHeight="1" x14ac:dyDescent="0.25">
      <c r="A13" s="6" t="s">
        <v>24</v>
      </c>
      <c r="B13" s="6" t="s">
        <v>3</v>
      </c>
      <c r="C13" s="1"/>
      <c r="D13"/>
      <c r="J13" s="3" t="s">
        <v>12</v>
      </c>
    </row>
    <row r="14" spans="1:10" x14ac:dyDescent="0.25">
      <c r="A14" s="6" t="s">
        <v>26</v>
      </c>
      <c r="B14" s="6"/>
      <c r="C14" t="s">
        <v>4</v>
      </c>
      <c r="D14" s="1" t="s">
        <v>3</v>
      </c>
      <c r="G14" t="s">
        <v>3</v>
      </c>
      <c r="H14" s="3" t="s">
        <v>27</v>
      </c>
    </row>
    <row r="15" spans="1:10" ht="27.6" x14ac:dyDescent="0.25">
      <c r="A15" s="6" t="s">
        <v>28</v>
      </c>
      <c r="B15" s="6"/>
      <c r="C15" t="s">
        <v>3</v>
      </c>
      <c r="D15" s="1" t="s">
        <v>3</v>
      </c>
      <c r="G15" t="s">
        <v>3</v>
      </c>
      <c r="H15" s="3" t="s">
        <v>30</v>
      </c>
    </row>
    <row r="16" spans="1:10" x14ac:dyDescent="0.25">
      <c r="A16" s="6" t="s">
        <v>91</v>
      </c>
      <c r="B16" s="6"/>
      <c r="C16" t="s">
        <v>3</v>
      </c>
      <c r="D16" t="s">
        <v>4</v>
      </c>
      <c r="G16" t="s">
        <v>4</v>
      </c>
      <c r="H16" s="3" t="s">
        <v>92</v>
      </c>
    </row>
    <row r="17" spans="1:8" ht="27.6" x14ac:dyDescent="0.25">
      <c r="A17" s="6" t="s">
        <v>89</v>
      </c>
      <c r="B17" s="6"/>
      <c r="C17" t="s">
        <v>3</v>
      </c>
      <c r="D17" t="s">
        <v>3</v>
      </c>
      <c r="H17" s="3" t="s">
        <v>90</v>
      </c>
    </row>
    <row r="18" spans="1:8" ht="27.6" x14ac:dyDescent="0.25">
      <c r="A18" s="6" t="s">
        <v>87</v>
      </c>
      <c r="B18" s="6"/>
      <c r="C18" t="s">
        <v>3</v>
      </c>
      <c r="D18" t="s">
        <v>3</v>
      </c>
      <c r="H18" s="3" t="s">
        <v>88</v>
      </c>
    </row>
    <row r="19" spans="1:8" x14ac:dyDescent="0.25">
      <c r="A19" s="6" t="s">
        <v>86</v>
      </c>
      <c r="B19" s="6"/>
      <c r="C19" t="s">
        <v>3</v>
      </c>
      <c r="D19" t="s">
        <v>3</v>
      </c>
      <c r="H19" s="3" t="s">
        <v>29</v>
      </c>
    </row>
    <row r="20" spans="1:8" x14ac:dyDescent="0.25">
      <c r="A20" s="6" t="s">
        <v>85</v>
      </c>
      <c r="B20" s="6"/>
      <c r="C20" t="s">
        <v>3</v>
      </c>
      <c r="D20" t="s">
        <v>3</v>
      </c>
      <c r="H20" s="3" t="s">
        <v>29</v>
      </c>
    </row>
    <row r="21" spans="1:8" x14ac:dyDescent="0.25">
      <c r="A21" s="6" t="s">
        <v>83</v>
      </c>
      <c r="B21" s="6"/>
      <c r="C21" t="s">
        <v>3</v>
      </c>
      <c r="D21" t="s">
        <v>3</v>
      </c>
      <c r="H21" s="3" t="s">
        <v>84</v>
      </c>
    </row>
    <row r="22" spans="1:8" x14ac:dyDescent="0.25">
      <c r="A22" s="6" t="s">
        <v>81</v>
      </c>
      <c r="B22" s="6"/>
      <c r="C22" t="s">
        <v>3</v>
      </c>
      <c r="D22" t="s">
        <v>3</v>
      </c>
      <c r="H22" s="3" t="s">
        <v>82</v>
      </c>
    </row>
    <row r="23" spans="1:8" ht="27.6" x14ac:dyDescent="0.25">
      <c r="A23" s="6" t="s">
        <v>79</v>
      </c>
      <c r="B23" s="6"/>
      <c r="C23" t="s">
        <v>3</v>
      </c>
      <c r="D23" t="s">
        <v>3</v>
      </c>
      <c r="H23" s="3" t="s">
        <v>80</v>
      </c>
    </row>
    <row r="24" spans="1:8" ht="27.6" x14ac:dyDescent="0.25">
      <c r="A24" s="6" t="s">
        <v>77</v>
      </c>
      <c r="B24" s="6"/>
      <c r="C24" t="s">
        <v>3</v>
      </c>
      <c r="D24" t="s">
        <v>3</v>
      </c>
      <c r="H24" s="3" t="s">
        <v>78</v>
      </c>
    </row>
    <row r="25" spans="1:8" ht="27.6" x14ac:dyDescent="0.25">
      <c r="A25" s="6" t="s">
        <v>75</v>
      </c>
      <c r="B25" s="6"/>
      <c r="C25" t="s">
        <v>3</v>
      </c>
      <c r="D25" t="s">
        <v>3</v>
      </c>
      <c r="G25" t="s">
        <v>3</v>
      </c>
      <c r="H25" s="3" t="s">
        <v>76</v>
      </c>
    </row>
    <row r="26" spans="1:8" ht="27.6" x14ac:dyDescent="0.25">
      <c r="A26" s="6" t="s">
        <v>74</v>
      </c>
      <c r="B26" s="6"/>
      <c r="C26" t="s">
        <v>3</v>
      </c>
      <c r="D26" t="s">
        <v>3</v>
      </c>
      <c r="G26" t="s">
        <v>3</v>
      </c>
      <c r="H26" s="3" t="s">
        <v>29</v>
      </c>
    </row>
    <row r="27" spans="1:8" ht="27.6" x14ac:dyDescent="0.25">
      <c r="A27" s="6" t="s">
        <v>72</v>
      </c>
      <c r="B27" s="6"/>
      <c r="C27" t="s">
        <v>3</v>
      </c>
      <c r="D27" t="s">
        <v>3</v>
      </c>
      <c r="F27" t="s">
        <v>3</v>
      </c>
      <c r="H27" s="3" t="s">
        <v>73</v>
      </c>
    </row>
    <row r="28" spans="1:8" ht="27.6" x14ac:dyDescent="0.25">
      <c r="A28" s="6" t="s">
        <v>70</v>
      </c>
      <c r="B28" s="6"/>
      <c r="C28" t="s">
        <v>3</v>
      </c>
      <c r="D28" t="s">
        <v>3</v>
      </c>
      <c r="F28" t="s">
        <v>3</v>
      </c>
      <c r="H28" s="3" t="s">
        <v>71</v>
      </c>
    </row>
    <row r="29" spans="1:8" ht="27.6" x14ac:dyDescent="0.25">
      <c r="A29" s="6" t="s">
        <v>69</v>
      </c>
      <c r="B29" s="6"/>
      <c r="C29" t="s">
        <v>3</v>
      </c>
      <c r="D29" t="s">
        <v>3</v>
      </c>
      <c r="F29" t="s">
        <v>3</v>
      </c>
      <c r="H29" s="3" t="s">
        <v>68</v>
      </c>
    </row>
    <row r="30" spans="1:8" ht="27.6" x14ac:dyDescent="0.25">
      <c r="A30" s="6" t="s">
        <v>67</v>
      </c>
      <c r="B30" s="6"/>
      <c r="C30" t="s">
        <v>3</v>
      </c>
      <c r="D30" t="s">
        <v>3</v>
      </c>
      <c r="F30" t="s">
        <v>3</v>
      </c>
      <c r="H30" s="3" t="s">
        <v>68</v>
      </c>
    </row>
    <row r="31" spans="1:8" ht="27.6" x14ac:dyDescent="0.25">
      <c r="A31" s="6" t="s">
        <v>65</v>
      </c>
      <c r="B31" s="6"/>
      <c r="C31" t="s">
        <v>3</v>
      </c>
      <c r="D31" t="s">
        <v>3</v>
      </c>
      <c r="F31" t="s">
        <v>3</v>
      </c>
      <c r="H31" s="3" t="s">
        <v>66</v>
      </c>
    </row>
    <row r="32" spans="1:8" ht="27.6" x14ac:dyDescent="0.25">
      <c r="A32" s="6" t="s">
        <v>63</v>
      </c>
      <c r="B32" s="6"/>
      <c r="C32" t="s">
        <v>3</v>
      </c>
      <c r="D32" s="1"/>
      <c r="F32" t="s">
        <v>3</v>
      </c>
      <c r="H32" s="3" t="s">
        <v>64</v>
      </c>
    </row>
    <row r="33" spans="1:8" ht="27.6" x14ac:dyDescent="0.25">
      <c r="A33" s="6" t="s">
        <v>105</v>
      </c>
      <c r="B33" s="6"/>
      <c r="C33" t="s">
        <v>3</v>
      </c>
      <c r="D33" t="s">
        <v>3</v>
      </c>
      <c r="F33" t="s">
        <v>3</v>
      </c>
    </row>
    <row r="34" spans="1:8" ht="27.6" x14ac:dyDescent="0.25">
      <c r="A34" s="6" t="s">
        <v>106</v>
      </c>
      <c r="B34" s="6"/>
      <c r="C34" t="s">
        <v>3</v>
      </c>
      <c r="D34" s="1"/>
      <c r="F34" t="s">
        <v>3</v>
      </c>
    </row>
    <row r="35" spans="1:8" x14ac:dyDescent="0.25">
      <c r="A35" s="6" t="s">
        <v>107</v>
      </c>
      <c r="B35" s="6"/>
      <c r="C35" t="s">
        <v>3</v>
      </c>
      <c r="D35" s="1"/>
      <c r="F35" t="s">
        <v>3</v>
      </c>
    </row>
    <row r="36" spans="1:8" ht="27.6" x14ac:dyDescent="0.25">
      <c r="A36" s="6" t="s">
        <v>61</v>
      </c>
      <c r="B36" s="6"/>
      <c r="C36" t="s">
        <v>3</v>
      </c>
      <c r="D36" s="1"/>
      <c r="E36" t="s">
        <v>3</v>
      </c>
      <c r="H36" s="3" t="s">
        <v>62</v>
      </c>
    </row>
    <row r="37" spans="1:8" ht="41.4" x14ac:dyDescent="0.25">
      <c r="A37" s="6" t="s">
        <v>59</v>
      </c>
      <c r="B37" s="6"/>
      <c r="C37" t="s">
        <v>3</v>
      </c>
      <c r="D37" s="1" t="s">
        <v>3</v>
      </c>
      <c r="E37" t="s">
        <v>3</v>
      </c>
      <c r="G37" t="s">
        <v>3</v>
      </c>
      <c r="H37" s="3" t="s">
        <v>60</v>
      </c>
    </row>
    <row r="38" spans="1:8" ht="27.6" x14ac:dyDescent="0.25">
      <c r="A38" s="6" t="s">
        <v>57</v>
      </c>
      <c r="B38" s="6"/>
      <c r="C38" t="s">
        <v>3</v>
      </c>
      <c r="D38"/>
      <c r="E38" t="s">
        <v>3</v>
      </c>
      <c r="H38" s="3" t="s">
        <v>58</v>
      </c>
    </row>
    <row r="39" spans="1:8" ht="27.6" x14ac:dyDescent="0.25">
      <c r="A39" s="6" t="s">
        <v>55</v>
      </c>
      <c r="B39" s="6"/>
      <c r="C39" t="s">
        <v>3</v>
      </c>
      <c r="D39" s="1"/>
      <c r="E39" t="s">
        <v>3</v>
      </c>
      <c r="H39" s="3" t="s">
        <v>56</v>
      </c>
    </row>
    <row r="40" spans="1:8" ht="41.4" x14ac:dyDescent="0.25">
      <c r="A40" s="6" t="s">
        <v>53</v>
      </c>
      <c r="B40" s="6"/>
      <c r="C40" t="s">
        <v>3</v>
      </c>
      <c r="D40"/>
      <c r="E40" t="s">
        <v>3</v>
      </c>
      <c r="G40" t="s">
        <v>3</v>
      </c>
      <c r="H40" s="3" t="s">
        <v>54</v>
      </c>
    </row>
    <row r="41" spans="1:8" ht="41.4" x14ac:dyDescent="0.25">
      <c r="A41" s="6" t="s">
        <v>51</v>
      </c>
      <c r="B41" s="6"/>
      <c r="C41" t="s">
        <v>3</v>
      </c>
      <c r="D41" s="1"/>
      <c r="E41" t="s">
        <v>3</v>
      </c>
      <c r="H41" s="3" t="s">
        <v>52</v>
      </c>
    </row>
    <row r="42" spans="1:8" ht="27.6" x14ac:dyDescent="0.25">
      <c r="A42" s="6" t="s">
        <v>49</v>
      </c>
      <c r="B42" s="6"/>
      <c r="C42" t="s">
        <v>3</v>
      </c>
      <c r="D42" s="1" t="s">
        <v>3</v>
      </c>
      <c r="E42" t="s">
        <v>3</v>
      </c>
      <c r="H42" s="3" t="s">
        <v>50</v>
      </c>
    </row>
    <row r="43" spans="1:8" ht="41.4" x14ac:dyDescent="0.25">
      <c r="A43" s="6" t="s">
        <v>47</v>
      </c>
      <c r="B43" s="6"/>
      <c r="C43" t="s">
        <v>3</v>
      </c>
      <c r="D43"/>
      <c r="E43" t="s">
        <v>3</v>
      </c>
      <c r="H43" s="3" t="s">
        <v>48</v>
      </c>
    </row>
    <row r="44" spans="1:8" ht="41.4" x14ac:dyDescent="0.25">
      <c r="A44" s="6" t="s">
        <v>45</v>
      </c>
      <c r="B44" s="6"/>
      <c r="C44" t="s">
        <v>3</v>
      </c>
      <c r="D44"/>
      <c r="E44" t="s">
        <v>3</v>
      </c>
      <c r="H44" s="3" t="s">
        <v>46</v>
      </c>
    </row>
    <row r="45" spans="1:8" ht="41.4" x14ac:dyDescent="0.25">
      <c r="A45" s="6" t="s">
        <v>43</v>
      </c>
      <c r="B45" s="6"/>
      <c r="C45" t="s">
        <v>3</v>
      </c>
      <c r="D45"/>
      <c r="E45" t="s">
        <v>3</v>
      </c>
      <c r="H45" s="3" t="s">
        <v>44</v>
      </c>
    </row>
    <row r="46" spans="1:8" ht="41.4" x14ac:dyDescent="0.25">
      <c r="A46" s="6" t="s">
        <v>41</v>
      </c>
      <c r="B46" s="6"/>
      <c r="C46" t="s">
        <v>3</v>
      </c>
      <c r="D46"/>
      <c r="E46" t="s">
        <v>3</v>
      </c>
      <c r="G46" t="s">
        <v>3</v>
      </c>
      <c r="H46" s="3" t="s">
        <v>42</v>
      </c>
    </row>
    <row r="47" spans="1:8" ht="55.2" x14ac:dyDescent="0.25">
      <c r="A47" s="6" t="s">
        <v>39</v>
      </c>
      <c r="B47" s="6"/>
      <c r="C47" t="s">
        <v>3</v>
      </c>
      <c r="D47" s="1"/>
      <c r="E47" t="s">
        <v>3</v>
      </c>
      <c r="H47" s="3" t="s">
        <v>40</v>
      </c>
    </row>
    <row r="48" spans="1:8" ht="41.4" x14ac:dyDescent="0.25">
      <c r="A48" s="6" t="s">
        <v>37</v>
      </c>
      <c r="B48" s="6"/>
      <c r="C48" t="s">
        <v>4</v>
      </c>
      <c r="D48"/>
      <c r="E48" t="s">
        <v>3</v>
      </c>
      <c r="H48" s="3" t="s">
        <v>38</v>
      </c>
    </row>
    <row r="49" spans="1:8" ht="41.4" x14ac:dyDescent="0.25">
      <c r="A49" s="6" t="s">
        <v>35</v>
      </c>
      <c r="B49" s="6"/>
      <c r="C49" t="s">
        <v>3</v>
      </c>
      <c r="D49" s="1"/>
      <c r="E49" t="s">
        <v>3</v>
      </c>
      <c r="H49" s="3" t="s">
        <v>36</v>
      </c>
    </row>
    <row r="50" spans="1:8" ht="27.6" x14ac:dyDescent="0.25">
      <c r="A50" s="6" t="s">
        <v>32</v>
      </c>
      <c r="B50" s="6"/>
      <c r="C50" t="s">
        <v>3</v>
      </c>
      <c r="D50" s="1"/>
      <c r="E50" t="s">
        <v>3</v>
      </c>
      <c r="H50" s="3" t="s">
        <v>33</v>
      </c>
    </row>
    <row r="51" spans="1:8" ht="27.6" x14ac:dyDescent="0.25">
      <c r="A51" s="6" t="s">
        <v>31</v>
      </c>
      <c r="B51" s="6"/>
      <c r="C51" t="s">
        <v>3</v>
      </c>
      <c r="D51" s="1"/>
      <c r="E51" t="s">
        <v>3</v>
      </c>
      <c r="H51" s="3" t="s">
        <v>34</v>
      </c>
    </row>
    <row r="52" spans="1:8" x14ac:dyDescent="0.25">
      <c r="A52" s="1"/>
      <c r="B52" s="1">
        <f>COUNTA(B2:B51)</f>
        <v>12</v>
      </c>
      <c r="C52" s="1">
        <f>COUNTA(C2:C51)</f>
        <v>38</v>
      </c>
      <c r="D52" s="1">
        <f t="shared" ref="D52:G52" si="0">COUNTA(D2:D51)</f>
        <v>21</v>
      </c>
      <c r="E52" s="1">
        <f t="shared" si="0"/>
        <v>16</v>
      </c>
      <c r="F52" s="1">
        <f t="shared" si="0"/>
        <v>9</v>
      </c>
      <c r="G52" s="1">
        <f t="shared" si="0"/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EDAC-39AA-47B7-AD40-74D49A2E91A5}">
  <dimension ref="A1:J52"/>
  <sheetViews>
    <sheetView workbookViewId="0">
      <pane ySplit="1" topLeftCell="A21" activePane="bottomLeft" state="frozen"/>
      <selection pane="bottomLeft" activeCell="C54" sqref="C54"/>
    </sheetView>
  </sheetViews>
  <sheetFormatPr defaultRowHeight="13.8" x14ac:dyDescent="0.25"/>
  <cols>
    <col min="1" max="1" width="31.77734375" style="2" customWidth="1"/>
    <col min="2" max="2" width="19.77734375" style="2" customWidth="1"/>
    <col min="3" max="3" width="16.5546875" style="2" customWidth="1"/>
    <col min="4" max="4" width="18.33203125" style="2" customWidth="1"/>
    <col min="5" max="5" width="12.6640625" customWidth="1"/>
    <col min="6" max="6" width="13.33203125" customWidth="1"/>
    <col min="7" max="7" width="10.33203125" customWidth="1"/>
    <col min="8" max="8" width="31.21875" style="3" customWidth="1"/>
    <col min="9" max="9" width="30" style="3" customWidth="1"/>
    <col min="10" max="10" width="31.77734375" style="3" customWidth="1"/>
  </cols>
  <sheetData>
    <row r="1" spans="1:10" x14ac:dyDescent="0.25">
      <c r="A1" s="1"/>
      <c r="B1" s="1" t="s">
        <v>108</v>
      </c>
      <c r="C1" s="1" t="s">
        <v>109</v>
      </c>
      <c r="D1" s="1" t="s">
        <v>110</v>
      </c>
    </row>
    <row r="2" spans="1:10" x14ac:dyDescent="0.25">
      <c r="A2" s="6" t="s">
        <v>0</v>
      </c>
      <c r="B2" s="6" t="s">
        <v>111</v>
      </c>
      <c r="C2" s="1" t="s">
        <v>4</v>
      </c>
      <c r="D2" s="1" t="s">
        <v>3</v>
      </c>
    </row>
    <row r="3" spans="1:10" x14ac:dyDescent="0.25">
      <c r="A3" s="6" t="s">
        <v>14</v>
      </c>
      <c r="B3" s="6" t="s">
        <v>4</v>
      </c>
      <c r="C3" s="1" t="s">
        <v>4</v>
      </c>
      <c r="D3" s="1" t="s">
        <v>4</v>
      </c>
    </row>
    <row r="4" spans="1:10" x14ac:dyDescent="0.25">
      <c r="A4" s="6" t="s">
        <v>15</v>
      </c>
      <c r="B4" s="6" t="s">
        <v>4</v>
      </c>
      <c r="C4" s="1" t="s">
        <v>4</v>
      </c>
      <c r="D4" s="1" t="s">
        <v>4</v>
      </c>
    </row>
    <row r="5" spans="1:10" ht="56.4" customHeight="1" x14ac:dyDescent="0.25">
      <c r="A5" s="6" t="s">
        <v>16</v>
      </c>
      <c r="B5" s="6" t="s">
        <v>4</v>
      </c>
      <c r="C5" s="1" t="s">
        <v>4</v>
      </c>
      <c r="D5" s="1" t="s">
        <v>115</v>
      </c>
      <c r="I5" s="7"/>
      <c r="J5" s="5"/>
    </row>
    <row r="6" spans="1:10" x14ac:dyDescent="0.25">
      <c r="A6" s="6" t="s">
        <v>17</v>
      </c>
      <c r="B6" s="6" t="s">
        <v>111</v>
      </c>
      <c r="C6" s="1" t="s">
        <v>4</v>
      </c>
      <c r="D6" s="1" t="s">
        <v>4</v>
      </c>
      <c r="J6" s="4"/>
    </row>
    <row r="7" spans="1:10" ht="44.4" customHeight="1" x14ac:dyDescent="0.25">
      <c r="A7" s="6" t="s">
        <v>18</v>
      </c>
      <c r="B7" s="6" t="s">
        <v>4</v>
      </c>
      <c r="C7" s="1" t="s">
        <v>4</v>
      </c>
      <c r="D7" s="1" t="s">
        <v>4</v>
      </c>
    </row>
    <row r="8" spans="1:10" ht="19.8" customHeight="1" x14ac:dyDescent="0.25">
      <c r="A8" s="6" t="s">
        <v>19</v>
      </c>
      <c r="B8" s="6" t="s">
        <v>4</v>
      </c>
      <c r="C8" s="1" t="s">
        <v>4</v>
      </c>
      <c r="D8" s="1" t="s">
        <v>4</v>
      </c>
    </row>
    <row r="9" spans="1:10" ht="28.8" customHeight="1" x14ac:dyDescent="0.25">
      <c r="A9" s="6" t="s">
        <v>20</v>
      </c>
      <c r="B9" s="6" t="s">
        <v>4</v>
      </c>
      <c r="C9" s="1" t="s">
        <v>4</v>
      </c>
      <c r="D9" s="1" t="s">
        <v>4</v>
      </c>
    </row>
    <row r="10" spans="1:10" ht="28.2" customHeight="1" x14ac:dyDescent="0.25">
      <c r="A10" s="6" t="s">
        <v>21</v>
      </c>
      <c r="B10" s="6" t="s">
        <v>111</v>
      </c>
      <c r="C10" s="1" t="s">
        <v>4</v>
      </c>
      <c r="D10" s="1" t="s">
        <v>4</v>
      </c>
    </row>
    <row r="11" spans="1:10" ht="27.6" customHeight="1" x14ac:dyDescent="0.25">
      <c r="A11" s="6" t="s">
        <v>22</v>
      </c>
      <c r="B11" s="6" t="s">
        <v>4</v>
      </c>
      <c r="C11" s="1" t="s">
        <v>4</v>
      </c>
      <c r="D11" s="1" t="s">
        <v>4</v>
      </c>
    </row>
    <row r="12" spans="1:10" ht="31.8" customHeight="1" x14ac:dyDescent="0.25">
      <c r="A12" s="6" t="s">
        <v>23</v>
      </c>
      <c r="B12" s="6" t="s">
        <v>4</v>
      </c>
      <c r="C12" s="1" t="s">
        <v>116</v>
      </c>
      <c r="D12" s="1" t="s">
        <v>4</v>
      </c>
    </row>
    <row r="13" spans="1:10" ht="32.4" customHeight="1" x14ac:dyDescent="0.25">
      <c r="A13" s="6" t="s">
        <v>24</v>
      </c>
      <c r="B13" s="6" t="s">
        <v>112</v>
      </c>
      <c r="C13" s="1" t="s">
        <v>116</v>
      </c>
      <c r="D13" s="1" t="s">
        <v>116</v>
      </c>
    </row>
    <row r="14" spans="1:10" x14ac:dyDescent="0.25">
      <c r="A14" s="6" t="s">
        <v>26</v>
      </c>
      <c r="B14" s="6" t="s">
        <v>112</v>
      </c>
      <c r="C14" s="1" t="s">
        <v>121</v>
      </c>
      <c r="D14" s="1" t="s">
        <v>116</v>
      </c>
    </row>
    <row r="15" spans="1:10" ht="27.6" x14ac:dyDescent="0.25">
      <c r="A15" s="6" t="s">
        <v>28</v>
      </c>
      <c r="B15" s="6" t="s">
        <v>113</v>
      </c>
      <c r="C15" s="1" t="s">
        <v>121</v>
      </c>
      <c r="D15" s="1" t="s">
        <v>4</v>
      </c>
    </row>
    <row r="16" spans="1:10" x14ac:dyDescent="0.25">
      <c r="A16" s="6" t="s">
        <v>91</v>
      </c>
      <c r="B16" s="6" t="s">
        <v>113</v>
      </c>
      <c r="C16" s="1" t="s">
        <v>121</v>
      </c>
      <c r="D16" s="1" t="s">
        <v>126</v>
      </c>
    </row>
    <row r="17" spans="1:4" x14ac:dyDescent="0.25">
      <c r="A17" s="6" t="s">
        <v>89</v>
      </c>
      <c r="B17" s="6" t="s">
        <v>4</v>
      </c>
      <c r="C17" s="1" t="s">
        <v>121</v>
      </c>
      <c r="D17" s="1" t="s">
        <v>4</v>
      </c>
    </row>
    <row r="18" spans="1:4" x14ac:dyDescent="0.25">
      <c r="A18" s="6" t="s">
        <v>87</v>
      </c>
      <c r="B18" s="6" t="s">
        <v>113</v>
      </c>
      <c r="C18" s="1" t="s">
        <v>4</v>
      </c>
      <c r="D18" s="1" t="s">
        <v>4</v>
      </c>
    </row>
    <row r="19" spans="1:4" x14ac:dyDescent="0.25">
      <c r="A19" s="6" t="s">
        <v>86</v>
      </c>
      <c r="B19" s="6" t="s">
        <v>113</v>
      </c>
      <c r="C19" s="1" t="s">
        <v>121</v>
      </c>
      <c r="D19" s="1" t="s">
        <v>126</v>
      </c>
    </row>
    <row r="20" spans="1:4" x14ac:dyDescent="0.25">
      <c r="A20" s="6" t="s">
        <v>85</v>
      </c>
      <c r="B20" s="6" t="s">
        <v>113</v>
      </c>
      <c r="C20" s="1" t="s">
        <v>121</v>
      </c>
      <c r="D20" t="s">
        <v>4</v>
      </c>
    </row>
    <row r="21" spans="1:4" x14ac:dyDescent="0.25">
      <c r="A21" s="6" t="s">
        <v>83</v>
      </c>
      <c r="B21" s="6" t="s">
        <v>113</v>
      </c>
      <c r="C21" s="1" t="s">
        <v>121</v>
      </c>
      <c r="D21" t="s">
        <v>4</v>
      </c>
    </row>
    <row r="22" spans="1:4" x14ac:dyDescent="0.25">
      <c r="A22" s="6" t="s">
        <v>81</v>
      </c>
      <c r="B22" s="6" t="s">
        <v>113</v>
      </c>
      <c r="C22" s="1" t="s">
        <v>121</v>
      </c>
      <c r="D22" t="s">
        <v>4</v>
      </c>
    </row>
    <row r="23" spans="1:4" ht="27.6" x14ac:dyDescent="0.25">
      <c r="A23" s="6" t="s">
        <v>79</v>
      </c>
      <c r="B23" s="6" t="s">
        <v>113</v>
      </c>
      <c r="C23" s="1" t="s">
        <v>121</v>
      </c>
      <c r="D23" t="s">
        <v>4</v>
      </c>
    </row>
    <row r="24" spans="1:4" x14ac:dyDescent="0.25">
      <c r="A24" s="6" t="s">
        <v>77</v>
      </c>
      <c r="B24" s="6" t="s">
        <v>113</v>
      </c>
      <c r="C24" s="1" t="s">
        <v>4</v>
      </c>
      <c r="D24" t="s">
        <v>4</v>
      </c>
    </row>
    <row r="25" spans="1:4" ht="27.6" x14ac:dyDescent="0.25">
      <c r="A25" s="6" t="s">
        <v>75</v>
      </c>
      <c r="B25" s="6" t="s">
        <v>113</v>
      </c>
      <c r="C25" s="1" t="s">
        <v>121</v>
      </c>
      <c r="D25" t="s">
        <v>125</v>
      </c>
    </row>
    <row r="26" spans="1:4" ht="27.6" x14ac:dyDescent="0.25">
      <c r="A26" s="6" t="s">
        <v>74</v>
      </c>
      <c r="B26" s="6" t="s">
        <v>113</v>
      </c>
      <c r="C26" s="1" t="s">
        <v>121</v>
      </c>
      <c r="D26" t="s">
        <v>4</v>
      </c>
    </row>
    <row r="27" spans="1:4" x14ac:dyDescent="0.25">
      <c r="A27" s="6" t="s">
        <v>72</v>
      </c>
      <c r="B27" s="6" t="s">
        <v>113</v>
      </c>
      <c r="C27" s="1" t="s">
        <v>121</v>
      </c>
      <c r="D27" t="s">
        <v>4</v>
      </c>
    </row>
    <row r="28" spans="1:4" ht="27.6" x14ac:dyDescent="0.25">
      <c r="A28" s="6" t="s">
        <v>70</v>
      </c>
      <c r="B28" s="6" t="s">
        <v>113</v>
      </c>
      <c r="C28" s="1" t="s">
        <v>122</v>
      </c>
      <c r="D28" t="s">
        <v>4</v>
      </c>
    </row>
    <row r="29" spans="1:4" ht="27.6" x14ac:dyDescent="0.25">
      <c r="A29" s="6" t="s">
        <v>69</v>
      </c>
      <c r="B29" s="6" t="s">
        <v>113</v>
      </c>
      <c r="C29" s="1" t="s">
        <v>121</v>
      </c>
      <c r="D29" t="s">
        <v>126</v>
      </c>
    </row>
    <row r="30" spans="1:4" ht="27.6" x14ac:dyDescent="0.25">
      <c r="A30" s="6" t="s">
        <v>67</v>
      </c>
      <c r="B30" s="6" t="s">
        <v>113</v>
      </c>
      <c r="C30" s="1" t="s">
        <v>121</v>
      </c>
      <c r="D30" t="s">
        <v>4</v>
      </c>
    </row>
    <row r="31" spans="1:4" ht="27.6" x14ac:dyDescent="0.25">
      <c r="A31" s="6" t="s">
        <v>65</v>
      </c>
      <c r="B31" s="6" t="s">
        <v>113</v>
      </c>
      <c r="C31" s="1" t="s">
        <v>121</v>
      </c>
      <c r="D31" t="s">
        <v>4</v>
      </c>
    </row>
    <row r="32" spans="1:4" ht="27.6" x14ac:dyDescent="0.25">
      <c r="A32" s="6" t="s">
        <v>63</v>
      </c>
      <c r="B32" s="6" t="s">
        <v>114</v>
      </c>
      <c r="C32" s="1" t="s">
        <v>4</v>
      </c>
      <c r="D32" s="1" t="s">
        <v>127</v>
      </c>
    </row>
    <row r="33" spans="1:4" ht="27.6" x14ac:dyDescent="0.25">
      <c r="A33" s="6" t="s">
        <v>105</v>
      </c>
      <c r="B33" s="6" t="s">
        <v>113</v>
      </c>
      <c r="C33" s="1" t="s">
        <v>121</v>
      </c>
      <c r="D33" t="s">
        <v>4</v>
      </c>
    </row>
    <row r="34" spans="1:4" ht="27.6" x14ac:dyDescent="0.25">
      <c r="A34" s="6" t="s">
        <v>106</v>
      </c>
      <c r="B34" s="6" t="s">
        <v>113</v>
      </c>
      <c r="C34" s="1" t="s">
        <v>121</v>
      </c>
      <c r="D34" s="1" t="s">
        <v>126</v>
      </c>
    </row>
    <row r="35" spans="1:4" x14ac:dyDescent="0.25">
      <c r="A35" s="6" t="s">
        <v>107</v>
      </c>
      <c r="B35" s="6" t="s">
        <v>113</v>
      </c>
      <c r="C35" s="1" t="s">
        <v>121</v>
      </c>
      <c r="D35" s="1" t="s">
        <v>4</v>
      </c>
    </row>
    <row r="36" spans="1:4" x14ac:dyDescent="0.25">
      <c r="A36" s="6" t="s">
        <v>136</v>
      </c>
      <c r="B36" s="6" t="s">
        <v>113</v>
      </c>
      <c r="C36" s="1" t="s">
        <v>4</v>
      </c>
      <c r="D36" s="1" t="s">
        <v>4</v>
      </c>
    </row>
    <row r="37" spans="1:4" x14ac:dyDescent="0.25">
      <c r="A37" s="6" t="s">
        <v>137</v>
      </c>
      <c r="B37" s="6" t="s">
        <v>113</v>
      </c>
      <c r="C37" s="1" t="s">
        <v>121</v>
      </c>
      <c r="D37" s="1" t="s">
        <v>117</v>
      </c>
    </row>
    <row r="38" spans="1:4" x14ac:dyDescent="0.25">
      <c r="A38" s="6" t="s">
        <v>138</v>
      </c>
      <c r="B38" s="6" t="s">
        <v>113</v>
      </c>
      <c r="C38" s="1" t="s">
        <v>122</v>
      </c>
      <c r="D38" s="1" t="s">
        <v>118</v>
      </c>
    </row>
    <row r="39" spans="1:4" ht="27.6" x14ac:dyDescent="0.25">
      <c r="A39" s="6" t="s">
        <v>139</v>
      </c>
      <c r="B39" s="6" t="s">
        <v>4</v>
      </c>
      <c r="C39" s="1" t="s">
        <v>4</v>
      </c>
      <c r="D39" s="1" t="s">
        <v>118</v>
      </c>
    </row>
    <row r="40" spans="1:4" ht="27.6" x14ac:dyDescent="0.25">
      <c r="A40" s="6" t="s">
        <v>140</v>
      </c>
      <c r="B40" s="6" t="s">
        <v>113</v>
      </c>
      <c r="C40" s="1" t="s">
        <v>121</v>
      </c>
      <c r="D40" s="1" t="s">
        <v>4</v>
      </c>
    </row>
    <row r="41" spans="1:4" ht="27.6" x14ac:dyDescent="0.25">
      <c r="A41" s="6" t="s">
        <v>141</v>
      </c>
      <c r="B41" s="6" t="s">
        <v>113</v>
      </c>
      <c r="C41" s="1" t="s">
        <v>124</v>
      </c>
      <c r="D41" s="1" t="s">
        <v>118</v>
      </c>
    </row>
    <row r="42" spans="1:4" x14ac:dyDescent="0.25">
      <c r="A42" s="6" t="s">
        <v>142</v>
      </c>
      <c r="B42" s="6" t="s">
        <v>113</v>
      </c>
      <c r="C42" s="1" t="s">
        <v>122</v>
      </c>
      <c r="D42" s="1" t="s">
        <v>4</v>
      </c>
    </row>
    <row r="43" spans="1:4" x14ac:dyDescent="0.25">
      <c r="A43" s="6" t="s">
        <v>143</v>
      </c>
      <c r="B43" s="6" t="s">
        <v>113</v>
      </c>
      <c r="C43" s="1" t="s">
        <v>4</v>
      </c>
      <c r="D43" s="1" t="s">
        <v>4</v>
      </c>
    </row>
    <row r="44" spans="1:4" ht="41.4" x14ac:dyDescent="0.25">
      <c r="A44" s="6" t="s">
        <v>135</v>
      </c>
      <c r="B44" s="6" t="s">
        <v>113</v>
      </c>
      <c r="C44" s="1" t="s">
        <v>121</v>
      </c>
      <c r="D44" s="1" t="s">
        <v>4</v>
      </c>
    </row>
    <row r="45" spans="1:4" x14ac:dyDescent="0.25">
      <c r="A45" s="6" t="s">
        <v>134</v>
      </c>
      <c r="B45" s="6" t="s">
        <v>113</v>
      </c>
      <c r="C45" s="1" t="s">
        <v>4</v>
      </c>
      <c r="D45" s="1" t="s">
        <v>118</v>
      </c>
    </row>
    <row r="46" spans="1:4" x14ac:dyDescent="0.25">
      <c r="A46" s="6" t="s">
        <v>133</v>
      </c>
      <c r="B46" s="6" t="s">
        <v>113</v>
      </c>
      <c r="C46" s="1" t="s">
        <v>121</v>
      </c>
      <c r="D46" s="1" t="s">
        <v>119</v>
      </c>
    </row>
    <row r="47" spans="1:4" x14ac:dyDescent="0.25">
      <c r="A47" s="6" t="s">
        <v>132</v>
      </c>
      <c r="B47" s="6" t="s">
        <v>113</v>
      </c>
      <c r="C47" s="1" t="s">
        <v>4</v>
      </c>
      <c r="D47" s="1" t="s">
        <v>118</v>
      </c>
    </row>
    <row r="48" spans="1:4" ht="27.6" x14ac:dyDescent="0.25">
      <c r="A48" s="6" t="s">
        <v>131</v>
      </c>
      <c r="B48" s="6" t="s">
        <v>113</v>
      </c>
      <c r="C48" t="s">
        <v>123</v>
      </c>
      <c r="D48" s="1" t="s">
        <v>118</v>
      </c>
    </row>
    <row r="49" spans="1:7" ht="27.6" x14ac:dyDescent="0.25">
      <c r="A49" s="6" t="s">
        <v>130</v>
      </c>
      <c r="B49" s="6" t="s">
        <v>113</v>
      </c>
      <c r="C49" s="1" t="s">
        <v>120</v>
      </c>
      <c r="D49" s="1" t="s">
        <v>120</v>
      </c>
    </row>
    <row r="50" spans="1:7" x14ac:dyDescent="0.25">
      <c r="A50" s="6" t="s">
        <v>129</v>
      </c>
      <c r="B50" s="6" t="s">
        <v>113</v>
      </c>
      <c r="C50" s="1" t="s">
        <v>121</v>
      </c>
      <c r="D50" s="1" t="s">
        <v>4</v>
      </c>
    </row>
    <row r="51" spans="1:7" x14ac:dyDescent="0.25">
      <c r="A51" s="6" t="s">
        <v>128</v>
      </c>
      <c r="B51" s="6" t="s">
        <v>113</v>
      </c>
      <c r="C51" s="1" t="s">
        <v>4</v>
      </c>
      <c r="D51" s="1" t="s">
        <v>118</v>
      </c>
    </row>
    <row r="52" spans="1:7" x14ac:dyDescent="0.25">
      <c r="A52" s="1"/>
      <c r="B52" s="1">
        <f>COUNTIF(B2:B51,"√")</f>
        <v>10</v>
      </c>
      <c r="C52" s="1">
        <f t="shared" ref="C52:D52" si="0">COUNTIF(C2:C51,"√")</f>
        <v>19</v>
      </c>
      <c r="D52" s="1">
        <f t="shared" si="0"/>
        <v>31</v>
      </c>
      <c r="E52" s="1"/>
      <c r="F52" s="1"/>
      <c r="G5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5AF7-1DFB-4C9F-BCDE-383F0EF4CB89}">
  <dimension ref="A1:Q52"/>
  <sheetViews>
    <sheetView topLeftCell="B1" zoomScale="115" zoomScaleNormal="115" workbookViewId="0">
      <pane ySplit="1" topLeftCell="A50" activePane="bottomLeft" state="frozen"/>
      <selection pane="bottomLeft" activeCell="L52" sqref="L52:Q52"/>
    </sheetView>
  </sheetViews>
  <sheetFormatPr defaultRowHeight="13.8" x14ac:dyDescent="0.25"/>
  <cols>
    <col min="1" max="1" width="20.5546875" customWidth="1"/>
    <col min="2" max="2" width="14.44140625" customWidth="1"/>
    <col min="8" max="8" width="16.6640625" customWidth="1"/>
    <col min="9" max="9" width="12.21875" customWidth="1"/>
  </cols>
  <sheetData>
    <row r="1" spans="1:17" x14ac:dyDescent="0.25">
      <c r="A1" s="1"/>
      <c r="B1" s="1" t="s">
        <v>2</v>
      </c>
      <c r="C1" s="1" t="s">
        <v>93</v>
      </c>
      <c r="D1" s="1" t="s">
        <v>94</v>
      </c>
      <c r="E1" t="s">
        <v>95</v>
      </c>
      <c r="F1" t="s">
        <v>1</v>
      </c>
      <c r="G1" t="s">
        <v>104</v>
      </c>
      <c r="H1" s="1"/>
      <c r="I1" s="1" t="s">
        <v>108</v>
      </c>
      <c r="J1" s="1" t="s">
        <v>109</v>
      </c>
      <c r="K1" s="8" t="s">
        <v>110</v>
      </c>
      <c r="L1" s="1" t="s">
        <v>2</v>
      </c>
      <c r="M1" s="1" t="s">
        <v>93</v>
      </c>
      <c r="N1" s="1" t="s">
        <v>94</v>
      </c>
      <c r="O1" t="s">
        <v>95</v>
      </c>
      <c r="P1" t="s">
        <v>1</v>
      </c>
      <c r="Q1" t="s">
        <v>104</v>
      </c>
    </row>
    <row r="2" spans="1:17" x14ac:dyDescent="0.25">
      <c r="A2" s="6" t="s">
        <v>0</v>
      </c>
      <c r="B2" s="6" t="s">
        <v>3</v>
      </c>
      <c r="C2" s="1"/>
      <c r="D2" s="1"/>
      <c r="H2" s="6" t="s">
        <v>0</v>
      </c>
      <c r="I2" s="6" t="s">
        <v>111</v>
      </c>
      <c r="J2" s="1" t="s">
        <v>4</v>
      </c>
      <c r="K2" s="1" t="s">
        <v>4</v>
      </c>
      <c r="L2" t="str">
        <f>IF(AND(B2="√", K2="√"), "√", "")</f>
        <v>√</v>
      </c>
      <c r="M2" t="str">
        <f>IF(AND(C2="√", K2="√"), "√", "")</f>
        <v/>
      </c>
      <c r="N2" t="str">
        <f>IF(AND(D2="√", K2="√"), "√", "")</f>
        <v/>
      </c>
      <c r="O2" t="str">
        <f>IF(AND(E2="√", K2="√"), "√", "")</f>
        <v/>
      </c>
      <c r="P2" t="str">
        <f>IF(AND(F2="√", K2="√"), "√", "")</f>
        <v/>
      </c>
      <c r="Q2" t="str">
        <f>IF(AND(G2="√", K2="√"), "√", "")</f>
        <v/>
      </c>
    </row>
    <row r="3" spans="1:17" ht="27.6" x14ac:dyDescent="0.25">
      <c r="A3" s="6" t="s">
        <v>14</v>
      </c>
      <c r="B3" s="6" t="s">
        <v>4</v>
      </c>
      <c r="C3" s="1"/>
      <c r="D3" s="1"/>
      <c r="G3" t="s">
        <v>4</v>
      </c>
      <c r="H3" s="6" t="s">
        <v>14</v>
      </c>
      <c r="I3" s="6" t="s">
        <v>4</v>
      </c>
      <c r="J3" s="1" t="s">
        <v>4</v>
      </c>
      <c r="K3" s="1" t="s">
        <v>4</v>
      </c>
      <c r="L3" t="str">
        <f t="shared" ref="L3:L51" si="0">IF(AND(B3="√", K3="√"), "√", "")</f>
        <v>√</v>
      </c>
      <c r="M3" t="str">
        <f t="shared" ref="M3:M51" si="1">IF(AND(C3="√", K3="√"), "√", "")</f>
        <v/>
      </c>
      <c r="N3" t="str">
        <f t="shared" ref="N3:N51" si="2">IF(AND(D3="√", K3="√"), "√", "")</f>
        <v/>
      </c>
      <c r="O3" t="str">
        <f t="shared" ref="O3:O51" si="3">IF(AND(E3="√", K3="√"), "√", "")</f>
        <v/>
      </c>
      <c r="P3" t="str">
        <f t="shared" ref="P3:P51" si="4">IF(AND(F3="√", K3="√"), "√", "")</f>
        <v/>
      </c>
      <c r="Q3" t="str">
        <f t="shared" ref="Q3:Q51" si="5">IF(AND(G3="√", K3="√"), "√", "")</f>
        <v>√</v>
      </c>
    </row>
    <row r="4" spans="1:17" ht="27.6" x14ac:dyDescent="0.25">
      <c r="A4" s="6" t="s">
        <v>15</v>
      </c>
      <c r="B4" s="6" t="s">
        <v>3</v>
      </c>
      <c r="D4" s="1"/>
      <c r="G4" t="s">
        <v>4</v>
      </c>
      <c r="H4" s="6" t="s">
        <v>15</v>
      </c>
      <c r="I4" s="6" t="s">
        <v>4</v>
      </c>
      <c r="J4" s="1" t="s">
        <v>4</v>
      </c>
      <c r="K4" s="1" t="s">
        <v>4</v>
      </c>
      <c r="L4" t="str">
        <f t="shared" si="0"/>
        <v>√</v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>√</v>
      </c>
    </row>
    <row r="5" spans="1:17" ht="27.6" x14ac:dyDescent="0.25">
      <c r="A5" s="6" t="s">
        <v>16</v>
      </c>
      <c r="B5" s="6" t="s">
        <v>3</v>
      </c>
      <c r="C5" s="1"/>
      <c r="D5" s="1"/>
      <c r="H5" s="6" t="s">
        <v>16</v>
      </c>
      <c r="I5" s="6" t="s">
        <v>4</v>
      </c>
      <c r="J5" s="1" t="s">
        <v>4</v>
      </c>
      <c r="K5" s="1" t="s">
        <v>115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t="str">
        <f t="shared" si="5"/>
        <v/>
      </c>
    </row>
    <row r="6" spans="1:17" x14ac:dyDescent="0.25">
      <c r="A6" s="6" t="s">
        <v>17</v>
      </c>
      <c r="B6" s="6" t="s">
        <v>3</v>
      </c>
      <c r="C6" s="1"/>
      <c r="H6" s="6" t="s">
        <v>17</v>
      </c>
      <c r="I6" s="6" t="s">
        <v>111</v>
      </c>
      <c r="J6" s="1" t="s">
        <v>4</v>
      </c>
      <c r="K6" s="1" t="s">
        <v>4</v>
      </c>
      <c r="L6" t="str">
        <f t="shared" si="0"/>
        <v>√</v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t="str">
        <f t="shared" si="5"/>
        <v/>
      </c>
    </row>
    <row r="7" spans="1:17" ht="27.6" x14ac:dyDescent="0.25">
      <c r="A7" s="6" t="s">
        <v>18</v>
      </c>
      <c r="B7" s="6" t="s">
        <v>3</v>
      </c>
      <c r="D7" s="1"/>
      <c r="G7" t="s">
        <v>4</v>
      </c>
      <c r="H7" s="6" t="s">
        <v>18</v>
      </c>
      <c r="I7" s="6" t="s">
        <v>4</v>
      </c>
      <c r="J7" s="1" t="s">
        <v>4</v>
      </c>
      <c r="K7" s="1" t="s">
        <v>4</v>
      </c>
      <c r="L7" t="str">
        <f t="shared" si="0"/>
        <v>√</v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t="str">
        <f t="shared" si="5"/>
        <v>√</v>
      </c>
    </row>
    <row r="8" spans="1:17" x14ac:dyDescent="0.25">
      <c r="A8" s="6" t="s">
        <v>19</v>
      </c>
      <c r="B8" s="6" t="s">
        <v>3</v>
      </c>
      <c r="C8" s="1"/>
      <c r="D8" s="1"/>
      <c r="H8" s="6" t="s">
        <v>19</v>
      </c>
      <c r="I8" s="6" t="s">
        <v>4</v>
      </c>
      <c r="J8" s="1" t="s">
        <v>4</v>
      </c>
      <c r="K8" s="1" t="s">
        <v>4</v>
      </c>
      <c r="L8" t="str">
        <f t="shared" si="0"/>
        <v>√</v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</row>
    <row r="9" spans="1:17" x14ac:dyDescent="0.25">
      <c r="A9" s="6" t="s">
        <v>20</v>
      </c>
      <c r="B9" s="6" t="s">
        <v>3</v>
      </c>
      <c r="C9" s="2"/>
      <c r="D9" s="1"/>
      <c r="H9" s="6" t="s">
        <v>20</v>
      </c>
      <c r="I9" s="6" t="s">
        <v>4</v>
      </c>
      <c r="J9" s="1" t="s">
        <v>4</v>
      </c>
      <c r="K9" s="1" t="s">
        <v>4</v>
      </c>
      <c r="L9" t="str">
        <f t="shared" si="0"/>
        <v>√</v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t="str">
        <f t="shared" si="5"/>
        <v/>
      </c>
    </row>
    <row r="10" spans="1:17" x14ac:dyDescent="0.25">
      <c r="A10" s="6" t="s">
        <v>21</v>
      </c>
      <c r="B10" s="6" t="s">
        <v>3</v>
      </c>
      <c r="C10" s="1"/>
      <c r="D10" s="1"/>
      <c r="H10" s="6" t="s">
        <v>21</v>
      </c>
      <c r="I10" s="6" t="s">
        <v>111</v>
      </c>
      <c r="J10" s="1" t="s">
        <v>4</v>
      </c>
      <c r="K10" s="1" t="s">
        <v>4</v>
      </c>
      <c r="L10" t="str">
        <f t="shared" si="0"/>
        <v>√</v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t="str">
        <f t="shared" si="5"/>
        <v/>
      </c>
    </row>
    <row r="11" spans="1:17" x14ac:dyDescent="0.25">
      <c r="A11" s="6" t="s">
        <v>22</v>
      </c>
      <c r="B11" s="6" t="s">
        <v>3</v>
      </c>
      <c r="C11" s="1"/>
      <c r="H11" s="6" t="s">
        <v>22</v>
      </c>
      <c r="I11" s="6" t="s">
        <v>4</v>
      </c>
      <c r="J11" s="1" t="s">
        <v>4</v>
      </c>
      <c r="K11" s="1" t="s">
        <v>4</v>
      </c>
      <c r="L11" t="str">
        <f t="shared" si="0"/>
        <v>√</v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t="str">
        <f t="shared" si="5"/>
        <v/>
      </c>
    </row>
    <row r="12" spans="1:17" ht="41.4" x14ac:dyDescent="0.25">
      <c r="A12" s="6" t="s">
        <v>23</v>
      </c>
      <c r="B12" s="6" t="s">
        <v>3</v>
      </c>
      <c r="H12" s="6" t="s">
        <v>23</v>
      </c>
      <c r="I12" s="6" t="s">
        <v>4</v>
      </c>
      <c r="J12" s="1" t="s">
        <v>116</v>
      </c>
      <c r="K12" s="1" t="s">
        <v>4</v>
      </c>
      <c r="L12" t="str">
        <f t="shared" si="0"/>
        <v>√</v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t="str">
        <f t="shared" si="5"/>
        <v/>
      </c>
    </row>
    <row r="13" spans="1:17" ht="27.6" x14ac:dyDescent="0.25">
      <c r="A13" s="6" t="s">
        <v>24</v>
      </c>
      <c r="B13" s="6" t="s">
        <v>3</v>
      </c>
      <c r="C13" s="1"/>
      <c r="H13" s="6" t="s">
        <v>24</v>
      </c>
      <c r="I13" s="6" t="s">
        <v>112</v>
      </c>
      <c r="J13" s="1" t="s">
        <v>116</v>
      </c>
      <c r="K13" s="1" t="s">
        <v>116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t="str">
        <f t="shared" si="5"/>
        <v/>
      </c>
    </row>
    <row r="14" spans="1:17" ht="27.6" x14ac:dyDescent="0.25">
      <c r="A14" s="6" t="s">
        <v>26</v>
      </c>
      <c r="B14" s="6"/>
      <c r="C14" t="s">
        <v>4</v>
      </c>
      <c r="D14" s="1" t="s">
        <v>3</v>
      </c>
      <c r="G14" t="s">
        <v>3</v>
      </c>
      <c r="H14" s="6" t="s">
        <v>26</v>
      </c>
      <c r="I14" s="6" t="s">
        <v>112</v>
      </c>
      <c r="J14" s="1" t="s">
        <v>121</v>
      </c>
      <c r="K14" s="1" t="s">
        <v>116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t="str">
        <f t="shared" si="5"/>
        <v/>
      </c>
    </row>
    <row r="15" spans="1:17" ht="41.4" x14ac:dyDescent="0.25">
      <c r="A15" s="6" t="s">
        <v>28</v>
      </c>
      <c r="B15" s="6"/>
      <c r="C15" t="s">
        <v>3</v>
      </c>
      <c r="D15" s="1" t="s">
        <v>3</v>
      </c>
      <c r="G15" t="s">
        <v>3</v>
      </c>
      <c r="H15" s="6" t="s">
        <v>28</v>
      </c>
      <c r="I15" s="6" t="s">
        <v>113</v>
      </c>
      <c r="J15" s="1" t="s">
        <v>121</v>
      </c>
      <c r="K15" s="1" t="s">
        <v>4</v>
      </c>
      <c r="L15" t="str">
        <f t="shared" si="0"/>
        <v/>
      </c>
      <c r="M15" t="str">
        <f t="shared" si="1"/>
        <v>√</v>
      </c>
      <c r="N15" t="str">
        <f t="shared" si="2"/>
        <v>√</v>
      </c>
      <c r="O15" t="str">
        <f t="shared" si="3"/>
        <v/>
      </c>
      <c r="P15" t="str">
        <f t="shared" si="4"/>
        <v/>
      </c>
      <c r="Q15" t="str">
        <f t="shared" si="5"/>
        <v>√</v>
      </c>
    </row>
    <row r="16" spans="1:17" ht="41.4" x14ac:dyDescent="0.25">
      <c r="A16" s="6" t="s">
        <v>91</v>
      </c>
      <c r="B16" s="6"/>
      <c r="C16" t="s">
        <v>3</v>
      </c>
      <c r="D16" t="s">
        <v>4</v>
      </c>
      <c r="G16" t="s">
        <v>4</v>
      </c>
      <c r="H16" s="6" t="s">
        <v>91</v>
      </c>
      <c r="I16" s="6" t="s">
        <v>113</v>
      </c>
      <c r="J16" s="1" t="s">
        <v>121</v>
      </c>
      <c r="K16" s="1" t="s">
        <v>126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t="str">
        <f t="shared" si="5"/>
        <v/>
      </c>
    </row>
    <row r="17" spans="1:17" ht="27.6" x14ac:dyDescent="0.25">
      <c r="A17" s="6" t="s">
        <v>89</v>
      </c>
      <c r="B17" s="6"/>
      <c r="C17" t="s">
        <v>3</v>
      </c>
      <c r="D17" t="s">
        <v>3</v>
      </c>
      <c r="H17" s="6" t="s">
        <v>89</v>
      </c>
      <c r="I17" s="6" t="s">
        <v>4</v>
      </c>
      <c r="J17" s="1" t="s">
        <v>121</v>
      </c>
      <c r="K17" s="1" t="s">
        <v>4</v>
      </c>
      <c r="L17" t="str">
        <f t="shared" si="0"/>
        <v/>
      </c>
      <c r="M17" t="str">
        <f t="shared" si="1"/>
        <v>√</v>
      </c>
      <c r="N17" t="str">
        <f t="shared" si="2"/>
        <v>√</v>
      </c>
      <c r="O17" t="str">
        <f t="shared" si="3"/>
        <v/>
      </c>
      <c r="P17" t="str">
        <f t="shared" si="4"/>
        <v/>
      </c>
      <c r="Q17" t="str">
        <f t="shared" si="5"/>
        <v/>
      </c>
    </row>
    <row r="18" spans="1:17" ht="27.6" x14ac:dyDescent="0.25">
      <c r="A18" s="6" t="s">
        <v>87</v>
      </c>
      <c r="B18" s="6"/>
      <c r="C18" t="s">
        <v>3</v>
      </c>
      <c r="D18" t="s">
        <v>3</v>
      </c>
      <c r="H18" s="6" t="s">
        <v>87</v>
      </c>
      <c r="I18" s="6" t="s">
        <v>113</v>
      </c>
      <c r="J18" s="1" t="s">
        <v>4</v>
      </c>
      <c r="K18" s="1" t="s">
        <v>4</v>
      </c>
      <c r="L18" t="str">
        <f t="shared" si="0"/>
        <v/>
      </c>
      <c r="M18" t="str">
        <f t="shared" si="1"/>
        <v>√</v>
      </c>
      <c r="N18" t="str">
        <f t="shared" si="2"/>
        <v>√</v>
      </c>
      <c r="O18" t="str">
        <f t="shared" si="3"/>
        <v/>
      </c>
      <c r="P18" t="str">
        <f t="shared" si="4"/>
        <v/>
      </c>
      <c r="Q18" t="str">
        <f t="shared" si="5"/>
        <v/>
      </c>
    </row>
    <row r="19" spans="1:17" ht="27.6" x14ac:dyDescent="0.25">
      <c r="A19" s="6" t="s">
        <v>86</v>
      </c>
      <c r="B19" s="6"/>
      <c r="C19" t="s">
        <v>3</v>
      </c>
      <c r="D19" t="s">
        <v>3</v>
      </c>
      <c r="H19" s="6" t="s">
        <v>86</v>
      </c>
      <c r="I19" s="6" t="s">
        <v>113</v>
      </c>
      <c r="J19" s="1" t="s">
        <v>121</v>
      </c>
      <c r="K19" s="1" t="s">
        <v>126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t="str">
        <f t="shared" si="5"/>
        <v/>
      </c>
    </row>
    <row r="20" spans="1:17" ht="27.6" x14ac:dyDescent="0.25">
      <c r="A20" s="6" t="s">
        <v>85</v>
      </c>
      <c r="B20" s="6"/>
      <c r="C20" t="s">
        <v>3</v>
      </c>
      <c r="D20" t="s">
        <v>3</v>
      </c>
      <c r="H20" s="6" t="s">
        <v>85</v>
      </c>
      <c r="I20" s="6" t="s">
        <v>113</v>
      </c>
      <c r="J20" s="1" t="s">
        <v>121</v>
      </c>
      <c r="K20" t="s">
        <v>4</v>
      </c>
      <c r="L20" t="str">
        <f t="shared" si="0"/>
        <v/>
      </c>
      <c r="M20" t="str">
        <f t="shared" si="1"/>
        <v>√</v>
      </c>
      <c r="N20" t="str">
        <f t="shared" si="2"/>
        <v>√</v>
      </c>
      <c r="O20" t="str">
        <f t="shared" si="3"/>
        <v/>
      </c>
      <c r="P20" t="str">
        <f t="shared" si="4"/>
        <v/>
      </c>
      <c r="Q20" t="str">
        <f t="shared" si="5"/>
        <v/>
      </c>
    </row>
    <row r="21" spans="1:17" ht="27.6" x14ac:dyDescent="0.25">
      <c r="A21" s="6" t="s">
        <v>83</v>
      </c>
      <c r="B21" s="6"/>
      <c r="C21" t="s">
        <v>3</v>
      </c>
      <c r="D21" t="s">
        <v>3</v>
      </c>
      <c r="H21" s="6" t="s">
        <v>83</v>
      </c>
      <c r="I21" s="6" t="s">
        <v>113</v>
      </c>
      <c r="J21" s="1" t="s">
        <v>121</v>
      </c>
      <c r="K21" t="s">
        <v>4</v>
      </c>
      <c r="L21" t="str">
        <f t="shared" si="0"/>
        <v/>
      </c>
      <c r="M21" t="str">
        <f t="shared" si="1"/>
        <v>√</v>
      </c>
      <c r="N21" t="str">
        <f t="shared" si="2"/>
        <v>√</v>
      </c>
      <c r="O21" t="str">
        <f t="shared" si="3"/>
        <v/>
      </c>
      <c r="P21" t="str">
        <f t="shared" si="4"/>
        <v/>
      </c>
      <c r="Q21" t="str">
        <f t="shared" si="5"/>
        <v/>
      </c>
    </row>
    <row r="22" spans="1:17" ht="27.6" x14ac:dyDescent="0.25">
      <c r="A22" s="6" t="s">
        <v>81</v>
      </c>
      <c r="B22" s="6"/>
      <c r="C22" t="s">
        <v>3</v>
      </c>
      <c r="D22" t="s">
        <v>3</v>
      </c>
      <c r="H22" s="6" t="s">
        <v>81</v>
      </c>
      <c r="I22" s="6" t="s">
        <v>113</v>
      </c>
      <c r="J22" s="1" t="s">
        <v>121</v>
      </c>
      <c r="K22" t="s">
        <v>4</v>
      </c>
      <c r="L22" t="str">
        <f t="shared" si="0"/>
        <v/>
      </c>
      <c r="M22" t="str">
        <f t="shared" si="1"/>
        <v>√</v>
      </c>
      <c r="N22" t="str">
        <f t="shared" si="2"/>
        <v>√</v>
      </c>
      <c r="O22" t="str">
        <f t="shared" si="3"/>
        <v/>
      </c>
      <c r="P22" t="str">
        <f t="shared" si="4"/>
        <v/>
      </c>
      <c r="Q22" t="str">
        <f t="shared" si="5"/>
        <v/>
      </c>
    </row>
    <row r="23" spans="1:17" ht="41.4" x14ac:dyDescent="0.25">
      <c r="A23" s="6" t="s">
        <v>79</v>
      </c>
      <c r="B23" s="6"/>
      <c r="C23" t="s">
        <v>3</v>
      </c>
      <c r="D23" t="s">
        <v>3</v>
      </c>
      <c r="H23" s="6" t="s">
        <v>79</v>
      </c>
      <c r="I23" s="6" t="s">
        <v>113</v>
      </c>
      <c r="J23" s="1" t="s">
        <v>121</v>
      </c>
      <c r="K23" t="s">
        <v>4</v>
      </c>
      <c r="L23" t="str">
        <f t="shared" si="0"/>
        <v/>
      </c>
      <c r="M23" t="str">
        <f t="shared" si="1"/>
        <v>√</v>
      </c>
      <c r="N23" t="str">
        <f t="shared" si="2"/>
        <v>√</v>
      </c>
      <c r="O23" t="str">
        <f t="shared" si="3"/>
        <v/>
      </c>
      <c r="P23" t="str">
        <f t="shared" si="4"/>
        <v/>
      </c>
      <c r="Q23" t="str">
        <f t="shared" si="5"/>
        <v/>
      </c>
    </row>
    <row r="24" spans="1:17" ht="27.6" x14ac:dyDescent="0.25">
      <c r="A24" s="6" t="s">
        <v>77</v>
      </c>
      <c r="B24" s="6"/>
      <c r="C24" t="s">
        <v>3</v>
      </c>
      <c r="D24" t="s">
        <v>3</v>
      </c>
      <c r="H24" s="6" t="s">
        <v>77</v>
      </c>
      <c r="I24" s="6" t="s">
        <v>113</v>
      </c>
      <c r="J24" s="1" t="s">
        <v>4</v>
      </c>
      <c r="K24" t="s">
        <v>4</v>
      </c>
      <c r="L24" t="str">
        <f t="shared" si="0"/>
        <v/>
      </c>
      <c r="M24" t="str">
        <f t="shared" si="1"/>
        <v>√</v>
      </c>
      <c r="N24" t="str">
        <f t="shared" si="2"/>
        <v>√</v>
      </c>
      <c r="O24" t="str">
        <f t="shared" si="3"/>
        <v/>
      </c>
      <c r="P24" t="str">
        <f t="shared" si="4"/>
        <v/>
      </c>
      <c r="Q24" t="str">
        <f t="shared" si="5"/>
        <v/>
      </c>
    </row>
    <row r="25" spans="1:17" ht="41.4" x14ac:dyDescent="0.25">
      <c r="A25" s="6" t="s">
        <v>75</v>
      </c>
      <c r="B25" s="6"/>
      <c r="C25" t="s">
        <v>3</v>
      </c>
      <c r="D25" t="s">
        <v>3</v>
      </c>
      <c r="G25" t="s">
        <v>3</v>
      </c>
      <c r="H25" s="6" t="s">
        <v>75</v>
      </c>
      <c r="I25" s="6" t="s">
        <v>113</v>
      </c>
      <c r="J25" s="1" t="s">
        <v>121</v>
      </c>
      <c r="K25" t="s">
        <v>125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t="str">
        <f t="shared" si="5"/>
        <v/>
      </c>
    </row>
    <row r="26" spans="1:17" ht="41.4" x14ac:dyDescent="0.25">
      <c r="A26" s="6" t="s">
        <v>74</v>
      </c>
      <c r="B26" s="6"/>
      <c r="C26" t="s">
        <v>3</v>
      </c>
      <c r="D26" t="s">
        <v>3</v>
      </c>
      <c r="G26" t="s">
        <v>3</v>
      </c>
      <c r="H26" s="6" t="s">
        <v>74</v>
      </c>
      <c r="I26" s="6" t="s">
        <v>113</v>
      </c>
      <c r="J26" s="1" t="s">
        <v>121</v>
      </c>
      <c r="K26" t="s">
        <v>4</v>
      </c>
      <c r="L26" t="str">
        <f t="shared" si="0"/>
        <v/>
      </c>
      <c r="M26" t="str">
        <f t="shared" si="1"/>
        <v>√</v>
      </c>
      <c r="N26" t="str">
        <f t="shared" si="2"/>
        <v>√</v>
      </c>
      <c r="O26" t="str">
        <f t="shared" si="3"/>
        <v/>
      </c>
      <c r="P26" t="str">
        <f t="shared" si="4"/>
        <v/>
      </c>
      <c r="Q26" t="str">
        <f t="shared" si="5"/>
        <v>√</v>
      </c>
    </row>
    <row r="27" spans="1:17" ht="41.4" x14ac:dyDescent="0.25">
      <c r="A27" s="6" t="s">
        <v>72</v>
      </c>
      <c r="B27" s="6"/>
      <c r="C27" t="s">
        <v>3</v>
      </c>
      <c r="D27" t="s">
        <v>3</v>
      </c>
      <c r="F27" t="s">
        <v>3</v>
      </c>
      <c r="H27" s="6" t="s">
        <v>72</v>
      </c>
      <c r="I27" s="6" t="s">
        <v>113</v>
      </c>
      <c r="J27" s="1" t="s">
        <v>121</v>
      </c>
      <c r="K27" t="s">
        <v>4</v>
      </c>
      <c r="L27" t="str">
        <f t="shared" si="0"/>
        <v/>
      </c>
      <c r="M27" t="str">
        <f t="shared" si="1"/>
        <v>√</v>
      </c>
      <c r="N27" t="str">
        <f t="shared" si="2"/>
        <v>√</v>
      </c>
      <c r="O27" t="str">
        <f t="shared" si="3"/>
        <v/>
      </c>
      <c r="P27" t="str">
        <f t="shared" si="4"/>
        <v>√</v>
      </c>
      <c r="Q27" t="str">
        <f t="shared" si="5"/>
        <v/>
      </c>
    </row>
    <row r="28" spans="1:17" ht="41.4" x14ac:dyDescent="0.25">
      <c r="A28" s="6" t="s">
        <v>70</v>
      </c>
      <c r="B28" s="6"/>
      <c r="C28" t="s">
        <v>3</v>
      </c>
      <c r="D28" t="s">
        <v>3</v>
      </c>
      <c r="F28" t="s">
        <v>3</v>
      </c>
      <c r="H28" s="6" t="s">
        <v>70</v>
      </c>
      <c r="I28" s="6" t="s">
        <v>113</v>
      </c>
      <c r="J28" s="1" t="s">
        <v>122</v>
      </c>
      <c r="K28" t="s">
        <v>4</v>
      </c>
      <c r="L28" t="str">
        <f t="shared" si="0"/>
        <v/>
      </c>
      <c r="M28" t="str">
        <f t="shared" si="1"/>
        <v>√</v>
      </c>
      <c r="N28" t="str">
        <f t="shared" si="2"/>
        <v>√</v>
      </c>
      <c r="O28" t="str">
        <f t="shared" si="3"/>
        <v/>
      </c>
      <c r="P28" t="str">
        <f t="shared" si="4"/>
        <v>√</v>
      </c>
      <c r="Q28" t="str">
        <f t="shared" si="5"/>
        <v/>
      </c>
    </row>
    <row r="29" spans="1:17" ht="41.4" x14ac:dyDescent="0.25">
      <c r="A29" s="6" t="s">
        <v>69</v>
      </c>
      <c r="B29" s="6"/>
      <c r="C29" t="s">
        <v>3</v>
      </c>
      <c r="D29" t="s">
        <v>3</v>
      </c>
      <c r="F29" t="s">
        <v>3</v>
      </c>
      <c r="H29" s="6" t="s">
        <v>69</v>
      </c>
      <c r="I29" s="6" t="s">
        <v>113</v>
      </c>
      <c r="J29" s="1" t="s">
        <v>121</v>
      </c>
      <c r="K29" t="s">
        <v>126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t="str">
        <f t="shared" si="5"/>
        <v/>
      </c>
    </row>
    <row r="30" spans="1:17" ht="41.4" x14ac:dyDescent="0.25">
      <c r="A30" s="6" t="s">
        <v>67</v>
      </c>
      <c r="B30" s="6"/>
      <c r="C30" t="s">
        <v>3</v>
      </c>
      <c r="D30" t="s">
        <v>3</v>
      </c>
      <c r="F30" t="s">
        <v>3</v>
      </c>
      <c r="H30" s="6" t="s">
        <v>67</v>
      </c>
      <c r="I30" s="6" t="s">
        <v>113</v>
      </c>
      <c r="J30" s="1" t="s">
        <v>121</v>
      </c>
      <c r="K30" t="s">
        <v>4</v>
      </c>
      <c r="L30" t="str">
        <f t="shared" si="0"/>
        <v/>
      </c>
      <c r="M30" t="str">
        <f t="shared" si="1"/>
        <v>√</v>
      </c>
      <c r="N30" t="str">
        <f t="shared" si="2"/>
        <v>√</v>
      </c>
      <c r="O30" t="str">
        <f t="shared" si="3"/>
        <v/>
      </c>
      <c r="P30" t="str">
        <f t="shared" si="4"/>
        <v>√</v>
      </c>
      <c r="Q30" t="str">
        <f t="shared" si="5"/>
        <v/>
      </c>
    </row>
    <row r="31" spans="1:17" ht="41.4" x14ac:dyDescent="0.25">
      <c r="A31" s="6" t="s">
        <v>65</v>
      </c>
      <c r="B31" s="6"/>
      <c r="C31" t="s">
        <v>3</v>
      </c>
      <c r="D31" t="s">
        <v>3</v>
      </c>
      <c r="F31" t="s">
        <v>3</v>
      </c>
      <c r="H31" s="6" t="s">
        <v>65</v>
      </c>
      <c r="I31" s="6" t="s">
        <v>113</v>
      </c>
      <c r="J31" s="1" t="s">
        <v>121</v>
      </c>
      <c r="K31" t="s">
        <v>4</v>
      </c>
      <c r="L31" t="str">
        <f t="shared" si="0"/>
        <v/>
      </c>
      <c r="M31" t="str">
        <f t="shared" si="1"/>
        <v>√</v>
      </c>
      <c r="N31" t="str">
        <f t="shared" si="2"/>
        <v>√</v>
      </c>
      <c r="O31" t="str">
        <f t="shared" si="3"/>
        <v/>
      </c>
      <c r="P31" t="str">
        <f t="shared" si="4"/>
        <v>√</v>
      </c>
      <c r="Q31" t="str">
        <f t="shared" si="5"/>
        <v/>
      </c>
    </row>
    <row r="32" spans="1:17" ht="55.2" x14ac:dyDescent="0.25">
      <c r="A32" s="6" t="s">
        <v>63</v>
      </c>
      <c r="B32" s="6"/>
      <c r="C32" t="s">
        <v>3</v>
      </c>
      <c r="D32" s="1"/>
      <c r="F32" t="s">
        <v>3</v>
      </c>
      <c r="H32" s="6" t="s">
        <v>63</v>
      </c>
      <c r="I32" s="6" t="s">
        <v>114</v>
      </c>
      <c r="J32" s="1" t="s">
        <v>4</v>
      </c>
      <c r="K32" s="1" t="s">
        <v>127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  <c r="Q32" t="str">
        <f t="shared" si="5"/>
        <v/>
      </c>
    </row>
    <row r="33" spans="1:17" ht="41.4" x14ac:dyDescent="0.25">
      <c r="A33" s="6" t="s">
        <v>105</v>
      </c>
      <c r="B33" s="6"/>
      <c r="C33" t="s">
        <v>3</v>
      </c>
      <c r="D33" t="s">
        <v>3</v>
      </c>
      <c r="F33" t="s">
        <v>3</v>
      </c>
      <c r="H33" s="6" t="s">
        <v>105</v>
      </c>
      <c r="I33" s="6" t="s">
        <v>113</v>
      </c>
      <c r="J33" s="1" t="s">
        <v>121</v>
      </c>
      <c r="K33" t="s">
        <v>4</v>
      </c>
      <c r="L33" t="str">
        <f t="shared" si="0"/>
        <v/>
      </c>
      <c r="M33" t="str">
        <f t="shared" si="1"/>
        <v>√</v>
      </c>
      <c r="N33" t="str">
        <f t="shared" si="2"/>
        <v>√</v>
      </c>
      <c r="O33" t="str">
        <f t="shared" si="3"/>
        <v/>
      </c>
      <c r="P33" t="str">
        <f t="shared" si="4"/>
        <v>√</v>
      </c>
      <c r="Q33" t="str">
        <f t="shared" si="5"/>
        <v/>
      </c>
    </row>
    <row r="34" spans="1:17" ht="55.2" x14ac:dyDescent="0.25">
      <c r="A34" s="6" t="s">
        <v>106</v>
      </c>
      <c r="B34" s="6"/>
      <c r="C34" t="s">
        <v>3</v>
      </c>
      <c r="D34" s="1"/>
      <c r="F34" t="s">
        <v>3</v>
      </c>
      <c r="H34" s="6" t="s">
        <v>106</v>
      </c>
      <c r="I34" s="6" t="s">
        <v>113</v>
      </c>
      <c r="J34" s="1" t="s">
        <v>121</v>
      </c>
      <c r="K34" s="1" t="s">
        <v>126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t="str">
        <f t="shared" si="5"/>
        <v/>
      </c>
    </row>
    <row r="35" spans="1:17" ht="27.6" x14ac:dyDescent="0.25">
      <c r="A35" s="6" t="s">
        <v>107</v>
      </c>
      <c r="B35" s="6"/>
      <c r="C35" t="s">
        <v>3</v>
      </c>
      <c r="D35" s="1"/>
      <c r="F35" t="s">
        <v>3</v>
      </c>
      <c r="H35" s="6" t="s">
        <v>107</v>
      </c>
      <c r="I35" s="6" t="s">
        <v>113</v>
      </c>
      <c r="J35" s="1" t="s">
        <v>121</v>
      </c>
      <c r="K35" s="1" t="s">
        <v>4</v>
      </c>
      <c r="L35" t="str">
        <f t="shared" si="0"/>
        <v/>
      </c>
      <c r="M35" t="str">
        <f t="shared" si="1"/>
        <v>√</v>
      </c>
      <c r="N35" t="str">
        <f t="shared" si="2"/>
        <v/>
      </c>
      <c r="O35" t="str">
        <f t="shared" si="3"/>
        <v/>
      </c>
      <c r="P35" t="str">
        <f t="shared" si="4"/>
        <v>√</v>
      </c>
      <c r="Q35" t="str">
        <f t="shared" si="5"/>
        <v/>
      </c>
    </row>
    <row r="36" spans="1:17" ht="27.6" x14ac:dyDescent="0.25">
      <c r="A36" s="6" t="s">
        <v>61</v>
      </c>
      <c r="B36" s="6"/>
      <c r="C36" t="s">
        <v>3</v>
      </c>
      <c r="D36" s="1"/>
      <c r="E36" t="s">
        <v>3</v>
      </c>
      <c r="H36" s="6" t="s">
        <v>136</v>
      </c>
      <c r="I36" s="6" t="s">
        <v>113</v>
      </c>
      <c r="J36" s="1" t="s">
        <v>4</v>
      </c>
      <c r="K36" s="1" t="s">
        <v>4</v>
      </c>
      <c r="L36" t="str">
        <f t="shared" si="0"/>
        <v/>
      </c>
      <c r="M36" t="str">
        <f t="shared" si="1"/>
        <v>√</v>
      </c>
      <c r="N36" t="str">
        <f t="shared" si="2"/>
        <v/>
      </c>
      <c r="O36" t="str">
        <f t="shared" si="3"/>
        <v>√</v>
      </c>
      <c r="P36" t="str">
        <f t="shared" si="4"/>
        <v/>
      </c>
      <c r="Q36" t="str">
        <f t="shared" si="5"/>
        <v/>
      </c>
    </row>
    <row r="37" spans="1:17" ht="27.6" x14ac:dyDescent="0.25">
      <c r="A37" s="6" t="s">
        <v>59</v>
      </c>
      <c r="B37" s="6"/>
      <c r="C37" t="s">
        <v>3</v>
      </c>
      <c r="D37" s="1" t="s">
        <v>3</v>
      </c>
      <c r="E37" t="s">
        <v>3</v>
      </c>
      <c r="G37" t="s">
        <v>3</v>
      </c>
      <c r="H37" s="6" t="s">
        <v>137</v>
      </c>
      <c r="I37" s="6" t="s">
        <v>113</v>
      </c>
      <c r="J37" s="1" t="s">
        <v>121</v>
      </c>
      <c r="K37" s="1" t="s">
        <v>117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t="str">
        <f t="shared" si="5"/>
        <v/>
      </c>
    </row>
    <row r="38" spans="1:17" ht="27.6" x14ac:dyDescent="0.25">
      <c r="A38" s="6" t="s">
        <v>57</v>
      </c>
      <c r="B38" s="6"/>
      <c r="C38" t="s">
        <v>3</v>
      </c>
      <c r="E38" t="s">
        <v>3</v>
      </c>
      <c r="H38" s="6" t="s">
        <v>138</v>
      </c>
      <c r="I38" s="6" t="s">
        <v>113</v>
      </c>
      <c r="J38" s="1" t="s">
        <v>122</v>
      </c>
      <c r="K38" s="1" t="s">
        <v>118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t="str">
        <f t="shared" si="5"/>
        <v/>
      </c>
    </row>
    <row r="39" spans="1:17" ht="41.4" x14ac:dyDescent="0.25">
      <c r="A39" s="6" t="s">
        <v>55</v>
      </c>
      <c r="B39" s="6"/>
      <c r="C39" t="s">
        <v>3</v>
      </c>
      <c r="D39" s="1"/>
      <c r="E39" t="s">
        <v>3</v>
      </c>
      <c r="H39" s="6" t="s">
        <v>139</v>
      </c>
      <c r="I39" s="6" t="s">
        <v>4</v>
      </c>
      <c r="J39" s="1" t="s">
        <v>4</v>
      </c>
      <c r="K39" s="1" t="s">
        <v>118</v>
      </c>
      <c r="L39" t="str">
        <f t="shared" si="0"/>
        <v/>
      </c>
      <c r="M39" t="str">
        <f t="shared" si="1"/>
        <v/>
      </c>
      <c r="N39" t="str">
        <f t="shared" si="2"/>
        <v/>
      </c>
      <c r="O39" t="str">
        <f t="shared" si="3"/>
        <v/>
      </c>
      <c r="P39" t="str">
        <f t="shared" si="4"/>
        <v/>
      </c>
      <c r="Q39" t="str">
        <f t="shared" si="5"/>
        <v/>
      </c>
    </row>
    <row r="40" spans="1:17" ht="41.4" x14ac:dyDescent="0.25">
      <c r="A40" s="6" t="s">
        <v>53</v>
      </c>
      <c r="B40" s="6"/>
      <c r="C40" t="s">
        <v>3</v>
      </c>
      <c r="E40" t="s">
        <v>3</v>
      </c>
      <c r="G40" t="s">
        <v>3</v>
      </c>
      <c r="H40" s="6" t="s">
        <v>140</v>
      </c>
      <c r="I40" s="6" t="s">
        <v>113</v>
      </c>
      <c r="J40" s="1" t="s">
        <v>121</v>
      </c>
      <c r="K40" s="1" t="s">
        <v>4</v>
      </c>
      <c r="L40" t="str">
        <f t="shared" si="0"/>
        <v/>
      </c>
      <c r="M40" t="str">
        <f t="shared" si="1"/>
        <v>√</v>
      </c>
      <c r="N40" t="str">
        <f t="shared" si="2"/>
        <v/>
      </c>
      <c r="O40" t="str">
        <f t="shared" si="3"/>
        <v>√</v>
      </c>
      <c r="P40" t="str">
        <f t="shared" si="4"/>
        <v/>
      </c>
      <c r="Q40" t="str">
        <f t="shared" si="5"/>
        <v>√</v>
      </c>
    </row>
    <row r="41" spans="1:17" ht="41.4" x14ac:dyDescent="0.25">
      <c r="A41" s="6" t="s">
        <v>51</v>
      </c>
      <c r="B41" s="6"/>
      <c r="C41" t="s">
        <v>3</v>
      </c>
      <c r="D41" s="1"/>
      <c r="E41" t="s">
        <v>3</v>
      </c>
      <c r="H41" s="6" t="s">
        <v>141</v>
      </c>
      <c r="I41" s="6" t="s">
        <v>113</v>
      </c>
      <c r="J41" s="1" t="s">
        <v>124</v>
      </c>
      <c r="K41" s="1" t="s">
        <v>118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</row>
    <row r="42" spans="1:17" ht="27.6" x14ac:dyDescent="0.25">
      <c r="A42" s="6" t="s">
        <v>49</v>
      </c>
      <c r="B42" s="6"/>
      <c r="C42" t="s">
        <v>3</v>
      </c>
      <c r="D42" s="1" t="s">
        <v>3</v>
      </c>
      <c r="E42" t="s">
        <v>3</v>
      </c>
      <c r="H42" s="6" t="s">
        <v>142</v>
      </c>
      <c r="I42" s="6" t="s">
        <v>113</v>
      </c>
      <c r="J42" s="1" t="s">
        <v>122</v>
      </c>
      <c r="K42" s="1" t="s">
        <v>4</v>
      </c>
      <c r="L42" t="str">
        <f t="shared" si="0"/>
        <v/>
      </c>
      <c r="M42" t="str">
        <f t="shared" si="1"/>
        <v>√</v>
      </c>
      <c r="N42" t="str">
        <f t="shared" si="2"/>
        <v>√</v>
      </c>
      <c r="O42" t="str">
        <f t="shared" si="3"/>
        <v>√</v>
      </c>
      <c r="P42" t="str">
        <f t="shared" si="4"/>
        <v/>
      </c>
      <c r="Q42" t="str">
        <f t="shared" si="5"/>
        <v/>
      </c>
    </row>
    <row r="43" spans="1:17" x14ac:dyDescent="0.25">
      <c r="A43" s="6" t="s">
        <v>47</v>
      </c>
      <c r="B43" s="6"/>
      <c r="C43" t="s">
        <v>3</v>
      </c>
      <c r="E43" t="s">
        <v>3</v>
      </c>
      <c r="H43" s="6" t="s">
        <v>143</v>
      </c>
      <c r="I43" s="6" t="s">
        <v>113</v>
      </c>
      <c r="J43" s="1" t="s">
        <v>4</v>
      </c>
      <c r="K43" s="1" t="s">
        <v>4</v>
      </c>
      <c r="L43" t="str">
        <f t="shared" si="0"/>
        <v/>
      </c>
      <c r="M43" t="str">
        <f t="shared" si="1"/>
        <v>√</v>
      </c>
      <c r="N43" t="str">
        <f t="shared" si="2"/>
        <v/>
      </c>
      <c r="O43" t="str">
        <f t="shared" si="3"/>
        <v>√</v>
      </c>
      <c r="P43" t="str">
        <f t="shared" si="4"/>
        <v/>
      </c>
      <c r="Q43" t="str">
        <f t="shared" si="5"/>
        <v/>
      </c>
    </row>
    <row r="44" spans="1:17" ht="69" x14ac:dyDescent="0.25">
      <c r="A44" s="6" t="s">
        <v>45</v>
      </c>
      <c r="B44" s="6"/>
      <c r="C44" t="s">
        <v>3</v>
      </c>
      <c r="E44" t="s">
        <v>3</v>
      </c>
      <c r="H44" s="6" t="s">
        <v>135</v>
      </c>
      <c r="I44" s="6" t="s">
        <v>113</v>
      </c>
      <c r="J44" s="1" t="s">
        <v>121</v>
      </c>
      <c r="K44" s="1" t="s">
        <v>4</v>
      </c>
      <c r="L44" t="str">
        <f t="shared" si="0"/>
        <v/>
      </c>
      <c r="M44" t="str">
        <f t="shared" si="1"/>
        <v>√</v>
      </c>
      <c r="N44" t="str">
        <f t="shared" si="2"/>
        <v/>
      </c>
      <c r="O44" t="str">
        <f t="shared" si="3"/>
        <v>√</v>
      </c>
      <c r="P44" t="str">
        <f t="shared" si="4"/>
        <v/>
      </c>
      <c r="Q44" t="str">
        <f t="shared" si="5"/>
        <v/>
      </c>
    </row>
    <row r="45" spans="1:17" ht="27.6" x14ac:dyDescent="0.25">
      <c r="A45" s="6" t="s">
        <v>43</v>
      </c>
      <c r="B45" s="6"/>
      <c r="C45" t="s">
        <v>3</v>
      </c>
      <c r="E45" t="s">
        <v>3</v>
      </c>
      <c r="H45" s="6" t="s">
        <v>134</v>
      </c>
      <c r="I45" s="6" t="s">
        <v>113</v>
      </c>
      <c r="J45" s="1" t="s">
        <v>4</v>
      </c>
      <c r="K45" s="1" t="s">
        <v>118</v>
      </c>
      <c r="L45" t="str">
        <f t="shared" si="0"/>
        <v/>
      </c>
      <c r="M45" t="str">
        <f t="shared" si="1"/>
        <v/>
      </c>
      <c r="N45" t="str">
        <f t="shared" si="2"/>
        <v/>
      </c>
      <c r="O45" t="str">
        <f t="shared" si="3"/>
        <v/>
      </c>
      <c r="P45" t="str">
        <f t="shared" si="4"/>
        <v/>
      </c>
      <c r="Q45" t="str">
        <f t="shared" si="5"/>
        <v/>
      </c>
    </row>
    <row r="46" spans="1:17" ht="27.6" x14ac:dyDescent="0.25">
      <c r="A46" s="6" t="s">
        <v>41</v>
      </c>
      <c r="B46" s="6"/>
      <c r="C46" t="s">
        <v>3</v>
      </c>
      <c r="E46" t="s">
        <v>3</v>
      </c>
      <c r="G46" t="s">
        <v>3</v>
      </c>
      <c r="H46" s="6" t="s">
        <v>133</v>
      </c>
      <c r="I46" s="6" t="s">
        <v>113</v>
      </c>
      <c r="J46" s="1" t="s">
        <v>121</v>
      </c>
      <c r="K46" s="1" t="s">
        <v>119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t="str">
        <f t="shared" si="5"/>
        <v/>
      </c>
    </row>
    <row r="47" spans="1:17" ht="27.6" x14ac:dyDescent="0.25">
      <c r="A47" s="6" t="s">
        <v>39</v>
      </c>
      <c r="B47" s="6"/>
      <c r="C47" t="s">
        <v>3</v>
      </c>
      <c r="D47" s="1"/>
      <c r="E47" t="s">
        <v>3</v>
      </c>
      <c r="H47" s="6" t="s">
        <v>132</v>
      </c>
      <c r="I47" s="6" t="s">
        <v>113</v>
      </c>
      <c r="J47" s="1" t="s">
        <v>4</v>
      </c>
      <c r="K47" s="1" t="s">
        <v>118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/>
      </c>
      <c r="P47" t="str">
        <f t="shared" si="4"/>
        <v/>
      </c>
      <c r="Q47" t="str">
        <f t="shared" si="5"/>
        <v/>
      </c>
    </row>
    <row r="48" spans="1:17" ht="41.4" x14ac:dyDescent="0.25">
      <c r="A48" s="6" t="s">
        <v>37</v>
      </c>
      <c r="B48" s="6"/>
      <c r="C48" t="s">
        <v>4</v>
      </c>
      <c r="E48" t="s">
        <v>3</v>
      </c>
      <c r="H48" s="6" t="s">
        <v>131</v>
      </c>
      <c r="I48" s="6" t="s">
        <v>113</v>
      </c>
      <c r="J48" t="s">
        <v>123</v>
      </c>
      <c r="K48" s="1" t="s">
        <v>118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t="str">
        <f t="shared" si="5"/>
        <v/>
      </c>
    </row>
    <row r="49" spans="1:17" ht="41.4" x14ac:dyDescent="0.25">
      <c r="A49" s="6" t="s">
        <v>35</v>
      </c>
      <c r="B49" s="6"/>
      <c r="C49" t="s">
        <v>3</v>
      </c>
      <c r="D49" s="1"/>
      <c r="E49" t="s">
        <v>3</v>
      </c>
      <c r="H49" s="6" t="s">
        <v>130</v>
      </c>
      <c r="I49" s="6" t="s">
        <v>113</v>
      </c>
      <c r="J49" s="1" t="s">
        <v>120</v>
      </c>
      <c r="K49" s="1" t="s">
        <v>120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t="str">
        <f t="shared" si="5"/>
        <v/>
      </c>
    </row>
    <row r="50" spans="1:17" ht="27.6" x14ac:dyDescent="0.25">
      <c r="A50" s="6" t="s">
        <v>32</v>
      </c>
      <c r="B50" s="6"/>
      <c r="C50" t="s">
        <v>3</v>
      </c>
      <c r="D50" s="1"/>
      <c r="E50" t="s">
        <v>3</v>
      </c>
      <c r="H50" s="6" t="s">
        <v>129</v>
      </c>
      <c r="I50" s="6" t="s">
        <v>113</v>
      </c>
      <c r="J50" s="1" t="s">
        <v>121</v>
      </c>
      <c r="K50" s="1" t="s">
        <v>4</v>
      </c>
      <c r="L50" t="str">
        <f t="shared" si="0"/>
        <v/>
      </c>
      <c r="M50" t="str">
        <f t="shared" si="1"/>
        <v>√</v>
      </c>
      <c r="N50" t="str">
        <f t="shared" si="2"/>
        <v/>
      </c>
      <c r="O50" t="str">
        <f t="shared" si="3"/>
        <v>√</v>
      </c>
      <c r="P50" t="str">
        <f t="shared" si="4"/>
        <v/>
      </c>
      <c r="Q50" t="str">
        <f t="shared" si="5"/>
        <v/>
      </c>
    </row>
    <row r="51" spans="1:17" ht="27.6" x14ac:dyDescent="0.25">
      <c r="A51" s="6" t="s">
        <v>31</v>
      </c>
      <c r="B51" s="6"/>
      <c r="C51" t="s">
        <v>3</v>
      </c>
      <c r="D51" s="1"/>
      <c r="E51" t="s">
        <v>3</v>
      </c>
      <c r="H51" s="6" t="s">
        <v>128</v>
      </c>
      <c r="I51" s="6" t="s">
        <v>113</v>
      </c>
      <c r="J51" s="1" t="s">
        <v>4</v>
      </c>
      <c r="K51" s="1" t="s">
        <v>118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/>
      </c>
      <c r="P51" t="str">
        <f t="shared" si="4"/>
        <v/>
      </c>
      <c r="Q51" t="str">
        <f t="shared" si="5"/>
        <v/>
      </c>
    </row>
    <row r="52" spans="1:17" x14ac:dyDescent="0.25">
      <c r="A52" s="1"/>
      <c r="B52" s="1">
        <f>COUNTA(B2:B51)</f>
        <v>12</v>
      </c>
      <c r="C52" s="1">
        <f>COUNTA(C2:C51)</f>
        <v>38</v>
      </c>
      <c r="D52" s="1">
        <f t="shared" ref="D52:G52" si="6">COUNTA(D2:D51)</f>
        <v>21</v>
      </c>
      <c r="E52" s="1">
        <f t="shared" si="6"/>
        <v>16</v>
      </c>
      <c r="F52" s="1">
        <f t="shared" si="6"/>
        <v>9</v>
      </c>
      <c r="G52" s="1">
        <f t="shared" si="6"/>
        <v>11</v>
      </c>
      <c r="H52" s="1"/>
      <c r="I52" s="1">
        <f>COUNTIF(I2:I51,"√")</f>
        <v>10</v>
      </c>
      <c r="J52" s="1">
        <f t="shared" ref="J52:Q52" si="7">COUNTIF(J2:J51,"√")</f>
        <v>19</v>
      </c>
      <c r="K52" s="1">
        <f t="shared" si="7"/>
        <v>31</v>
      </c>
      <c r="L52" s="1">
        <f t="shared" si="7"/>
        <v>10</v>
      </c>
      <c r="M52" s="1">
        <f t="shared" si="7"/>
        <v>21</v>
      </c>
      <c r="N52" s="1">
        <f t="shared" si="7"/>
        <v>15</v>
      </c>
      <c r="O52" s="1">
        <f t="shared" si="7"/>
        <v>6</v>
      </c>
      <c r="P52" s="1">
        <f t="shared" si="7"/>
        <v>6</v>
      </c>
      <c r="Q52" s="1">
        <f t="shared" si="7"/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867F-39C3-445A-B044-895DAEDD5A8C}">
  <dimension ref="A1:Q52"/>
  <sheetViews>
    <sheetView topLeftCell="B1" zoomScale="115" zoomScaleNormal="115" workbookViewId="0">
      <pane ySplit="1" topLeftCell="A48" activePane="bottomLeft" state="frozen"/>
      <selection pane="bottomLeft" activeCell="L52" sqref="L52:Q52"/>
    </sheetView>
  </sheetViews>
  <sheetFormatPr defaultRowHeight="13.8" x14ac:dyDescent="0.25"/>
  <cols>
    <col min="1" max="1" width="20.5546875" customWidth="1"/>
    <col min="2" max="2" width="14.44140625" customWidth="1"/>
    <col min="8" max="8" width="16.6640625" customWidth="1"/>
    <col min="9" max="9" width="12.21875" customWidth="1"/>
  </cols>
  <sheetData>
    <row r="1" spans="1:17" x14ac:dyDescent="0.25">
      <c r="A1" s="1"/>
      <c r="B1" s="1" t="s">
        <v>2</v>
      </c>
      <c r="C1" s="1" t="s">
        <v>93</v>
      </c>
      <c r="D1" s="1" t="s">
        <v>94</v>
      </c>
      <c r="E1" t="s">
        <v>95</v>
      </c>
      <c r="F1" t="s">
        <v>1</v>
      </c>
      <c r="G1" t="s">
        <v>104</v>
      </c>
      <c r="H1" s="1"/>
      <c r="I1" s="1" t="s">
        <v>108</v>
      </c>
      <c r="J1" s="8" t="s">
        <v>109</v>
      </c>
      <c r="K1" s="1" t="s">
        <v>110</v>
      </c>
      <c r="L1" s="1" t="s">
        <v>2</v>
      </c>
      <c r="M1" s="1" t="s">
        <v>93</v>
      </c>
      <c r="N1" s="1" t="s">
        <v>94</v>
      </c>
      <c r="O1" t="s">
        <v>95</v>
      </c>
      <c r="P1" t="s">
        <v>1</v>
      </c>
      <c r="Q1" t="s">
        <v>104</v>
      </c>
    </row>
    <row r="2" spans="1:17" x14ac:dyDescent="0.25">
      <c r="A2" s="6" t="s">
        <v>0</v>
      </c>
      <c r="B2" s="6" t="s">
        <v>3</v>
      </c>
      <c r="C2" s="1"/>
      <c r="D2" s="1"/>
      <c r="H2" s="6" t="s">
        <v>0</v>
      </c>
      <c r="I2" s="6" t="s">
        <v>111</v>
      </c>
      <c r="J2" s="1" t="s">
        <v>4</v>
      </c>
      <c r="K2" s="1" t="s">
        <v>4</v>
      </c>
      <c r="L2" t="str">
        <f>IF(AND(B2="√",J2="√"), "√", "")</f>
        <v>√</v>
      </c>
      <c r="M2" t="str">
        <f>IF(AND(C2="√", J2="√"), "√", "")</f>
        <v/>
      </c>
      <c r="N2" t="str">
        <f>IF(AND(D2="√", J2="√"), "√", "")</f>
        <v/>
      </c>
      <c r="O2" t="str">
        <f>IF(AND(E2="√",J2="√"), "√", "")</f>
        <v/>
      </c>
      <c r="P2" t="str">
        <f>IF(AND(F2="√", J2="√"), "√", "")</f>
        <v/>
      </c>
      <c r="Q2" t="str">
        <f>IF(AND(G2="√", J2="√"), "√", "")</f>
        <v/>
      </c>
    </row>
    <row r="3" spans="1:17" ht="27.6" x14ac:dyDescent="0.25">
      <c r="A3" s="6" t="s">
        <v>14</v>
      </c>
      <c r="B3" s="6" t="s">
        <v>4</v>
      </c>
      <c r="C3" s="1"/>
      <c r="D3" s="1"/>
      <c r="G3" t="s">
        <v>4</v>
      </c>
      <c r="H3" s="6" t="s">
        <v>14</v>
      </c>
      <c r="I3" s="6" t="s">
        <v>4</v>
      </c>
      <c r="J3" s="1" t="s">
        <v>4</v>
      </c>
      <c r="K3" s="1" t="s">
        <v>4</v>
      </c>
      <c r="L3" t="str">
        <f t="shared" ref="L3:L51" si="0">IF(AND(B3="√",J3="√"), "√", "")</f>
        <v>√</v>
      </c>
      <c r="M3" t="str">
        <f t="shared" ref="M3:M51" si="1">IF(AND(C3="√", J3="√"), "√", "")</f>
        <v/>
      </c>
      <c r="N3" t="str">
        <f t="shared" ref="N3:N51" si="2">IF(AND(D3="√", J3="√"), "√", "")</f>
        <v/>
      </c>
      <c r="O3" t="str">
        <f t="shared" ref="O3:O51" si="3">IF(AND(E3="√",J3="√"), "√", "")</f>
        <v/>
      </c>
      <c r="P3" t="str">
        <f t="shared" ref="P3:P51" si="4">IF(AND(F3="√", J3="√"), "√", "")</f>
        <v/>
      </c>
      <c r="Q3" t="str">
        <f t="shared" ref="Q3:Q51" si="5">IF(AND(G3="√", J3="√"), "√", "")</f>
        <v>√</v>
      </c>
    </row>
    <row r="4" spans="1:17" ht="27.6" x14ac:dyDescent="0.25">
      <c r="A4" s="6" t="s">
        <v>15</v>
      </c>
      <c r="B4" s="6" t="s">
        <v>3</v>
      </c>
      <c r="D4" s="1"/>
      <c r="G4" t="s">
        <v>4</v>
      </c>
      <c r="H4" s="6" t="s">
        <v>15</v>
      </c>
      <c r="I4" s="6" t="s">
        <v>4</v>
      </c>
      <c r="J4" s="1" t="s">
        <v>4</v>
      </c>
      <c r="K4" s="1" t="s">
        <v>4</v>
      </c>
      <c r="L4" t="str">
        <f t="shared" si="0"/>
        <v>√</v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>√</v>
      </c>
    </row>
    <row r="5" spans="1:17" ht="27.6" x14ac:dyDescent="0.25">
      <c r="A5" s="6" t="s">
        <v>16</v>
      </c>
      <c r="B5" s="6" t="s">
        <v>3</v>
      </c>
      <c r="C5" s="1"/>
      <c r="D5" s="1"/>
      <c r="H5" s="6" t="s">
        <v>16</v>
      </c>
      <c r="I5" s="6" t="s">
        <v>4</v>
      </c>
      <c r="J5" s="1" t="s">
        <v>4</v>
      </c>
      <c r="K5" s="1" t="s">
        <v>115</v>
      </c>
      <c r="L5" t="str">
        <f t="shared" si="0"/>
        <v>√</v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t="str">
        <f t="shared" si="5"/>
        <v/>
      </c>
    </row>
    <row r="6" spans="1:17" x14ac:dyDescent="0.25">
      <c r="A6" s="6" t="s">
        <v>17</v>
      </c>
      <c r="B6" s="6" t="s">
        <v>3</v>
      </c>
      <c r="C6" s="1"/>
      <c r="H6" s="6" t="s">
        <v>17</v>
      </c>
      <c r="I6" s="6" t="s">
        <v>111</v>
      </c>
      <c r="J6" s="1" t="s">
        <v>4</v>
      </c>
      <c r="K6" s="1" t="s">
        <v>4</v>
      </c>
      <c r="L6" t="str">
        <f t="shared" si="0"/>
        <v>√</v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t="str">
        <f t="shared" si="5"/>
        <v/>
      </c>
    </row>
    <row r="7" spans="1:17" ht="27.6" x14ac:dyDescent="0.25">
      <c r="A7" s="6" t="s">
        <v>18</v>
      </c>
      <c r="B7" s="6" t="s">
        <v>3</v>
      </c>
      <c r="D7" s="1"/>
      <c r="G7" t="s">
        <v>4</v>
      </c>
      <c r="H7" s="6" t="s">
        <v>18</v>
      </c>
      <c r="I7" s="6" t="s">
        <v>4</v>
      </c>
      <c r="J7" s="1" t="s">
        <v>4</v>
      </c>
      <c r="K7" s="1" t="s">
        <v>4</v>
      </c>
      <c r="L7" t="str">
        <f t="shared" si="0"/>
        <v>√</v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t="str">
        <f t="shared" si="5"/>
        <v>√</v>
      </c>
    </row>
    <row r="8" spans="1:17" x14ac:dyDescent="0.25">
      <c r="A8" s="6" t="s">
        <v>19</v>
      </c>
      <c r="B8" s="6" t="s">
        <v>3</v>
      </c>
      <c r="C8" s="1"/>
      <c r="D8" s="1"/>
      <c r="H8" s="6" t="s">
        <v>19</v>
      </c>
      <c r="I8" s="6" t="s">
        <v>4</v>
      </c>
      <c r="J8" s="1" t="s">
        <v>4</v>
      </c>
      <c r="K8" s="1" t="s">
        <v>4</v>
      </c>
      <c r="L8" t="str">
        <f t="shared" si="0"/>
        <v>√</v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</row>
    <row r="9" spans="1:17" x14ac:dyDescent="0.25">
      <c r="A9" s="6" t="s">
        <v>20</v>
      </c>
      <c r="B9" s="6" t="s">
        <v>3</v>
      </c>
      <c r="C9" s="2"/>
      <c r="D9" s="1"/>
      <c r="H9" s="6" t="s">
        <v>20</v>
      </c>
      <c r="I9" s="6" t="s">
        <v>4</v>
      </c>
      <c r="J9" s="1" t="s">
        <v>4</v>
      </c>
      <c r="K9" s="1" t="s">
        <v>4</v>
      </c>
      <c r="L9" t="str">
        <f t="shared" si="0"/>
        <v>√</v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t="str">
        <f t="shared" si="5"/>
        <v/>
      </c>
    </row>
    <row r="10" spans="1:17" x14ac:dyDescent="0.25">
      <c r="A10" s="6" t="s">
        <v>21</v>
      </c>
      <c r="B10" s="6" t="s">
        <v>3</v>
      </c>
      <c r="C10" s="1"/>
      <c r="D10" s="1"/>
      <c r="H10" s="6" t="s">
        <v>21</v>
      </c>
      <c r="I10" s="6" t="s">
        <v>111</v>
      </c>
      <c r="J10" s="1" t="s">
        <v>4</v>
      </c>
      <c r="K10" s="1" t="s">
        <v>4</v>
      </c>
      <c r="L10" t="str">
        <f t="shared" si="0"/>
        <v>√</v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t="str">
        <f t="shared" si="5"/>
        <v/>
      </c>
    </row>
    <row r="11" spans="1:17" x14ac:dyDescent="0.25">
      <c r="A11" s="6" t="s">
        <v>22</v>
      </c>
      <c r="B11" s="6" t="s">
        <v>3</v>
      </c>
      <c r="C11" s="1"/>
      <c r="H11" s="6" t="s">
        <v>22</v>
      </c>
      <c r="I11" s="6" t="s">
        <v>4</v>
      </c>
      <c r="J11" s="1" t="s">
        <v>4</v>
      </c>
      <c r="K11" s="1" t="s">
        <v>4</v>
      </c>
      <c r="L11" t="str">
        <f t="shared" si="0"/>
        <v>√</v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t="str">
        <f t="shared" si="5"/>
        <v/>
      </c>
    </row>
    <row r="12" spans="1:17" ht="41.4" x14ac:dyDescent="0.25">
      <c r="A12" s="6" t="s">
        <v>23</v>
      </c>
      <c r="B12" s="6" t="s">
        <v>3</v>
      </c>
      <c r="H12" s="6" t="s">
        <v>23</v>
      </c>
      <c r="I12" s="6" t="s">
        <v>4</v>
      </c>
      <c r="J12" s="1" t="s">
        <v>116</v>
      </c>
      <c r="K12" s="1" t="s">
        <v>4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t="str">
        <f t="shared" si="5"/>
        <v/>
      </c>
    </row>
    <row r="13" spans="1:17" ht="27.6" x14ac:dyDescent="0.25">
      <c r="A13" s="6" t="s">
        <v>24</v>
      </c>
      <c r="B13" s="6" t="s">
        <v>3</v>
      </c>
      <c r="C13" s="1"/>
      <c r="H13" s="6" t="s">
        <v>24</v>
      </c>
      <c r="I13" s="6" t="s">
        <v>112</v>
      </c>
      <c r="J13" s="1" t="s">
        <v>116</v>
      </c>
      <c r="K13" s="1" t="s">
        <v>116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t="str">
        <f t="shared" si="5"/>
        <v/>
      </c>
    </row>
    <row r="14" spans="1:17" ht="27.6" x14ac:dyDescent="0.25">
      <c r="A14" s="6" t="s">
        <v>26</v>
      </c>
      <c r="B14" s="6"/>
      <c r="C14" t="s">
        <v>4</v>
      </c>
      <c r="D14" s="1" t="s">
        <v>3</v>
      </c>
      <c r="G14" t="s">
        <v>3</v>
      </c>
      <c r="H14" s="6" t="s">
        <v>26</v>
      </c>
      <c r="I14" s="6" t="s">
        <v>112</v>
      </c>
      <c r="J14" s="1" t="s">
        <v>121</v>
      </c>
      <c r="K14" s="1" t="s">
        <v>116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t="str">
        <f t="shared" si="5"/>
        <v/>
      </c>
    </row>
    <row r="15" spans="1:17" ht="41.4" x14ac:dyDescent="0.25">
      <c r="A15" s="6" t="s">
        <v>28</v>
      </c>
      <c r="B15" s="6"/>
      <c r="C15" t="s">
        <v>3</v>
      </c>
      <c r="D15" s="1" t="s">
        <v>3</v>
      </c>
      <c r="G15" t="s">
        <v>3</v>
      </c>
      <c r="H15" s="6" t="s">
        <v>28</v>
      </c>
      <c r="I15" s="6" t="s">
        <v>113</v>
      </c>
      <c r="J15" s="1" t="s">
        <v>121</v>
      </c>
      <c r="K15" s="1" t="s">
        <v>4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  <c r="Q15" t="str">
        <f t="shared" si="5"/>
        <v/>
      </c>
    </row>
    <row r="16" spans="1:17" ht="41.4" x14ac:dyDescent="0.25">
      <c r="A16" s="6" t="s">
        <v>91</v>
      </c>
      <c r="B16" s="6"/>
      <c r="C16" t="s">
        <v>3</v>
      </c>
      <c r="D16" t="s">
        <v>4</v>
      </c>
      <c r="G16" t="s">
        <v>4</v>
      </c>
      <c r="H16" s="6" t="s">
        <v>91</v>
      </c>
      <c r="I16" s="6" t="s">
        <v>113</v>
      </c>
      <c r="J16" s="1" t="s">
        <v>121</v>
      </c>
      <c r="K16" s="1" t="s">
        <v>126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t="str">
        <f t="shared" si="5"/>
        <v/>
      </c>
    </row>
    <row r="17" spans="1:17" ht="27.6" x14ac:dyDescent="0.25">
      <c r="A17" s="6" t="s">
        <v>89</v>
      </c>
      <c r="B17" s="6"/>
      <c r="C17" t="s">
        <v>3</v>
      </c>
      <c r="D17" t="s">
        <v>3</v>
      </c>
      <c r="H17" s="6" t="s">
        <v>89</v>
      </c>
      <c r="I17" s="6" t="s">
        <v>4</v>
      </c>
      <c r="J17" s="1" t="s">
        <v>121</v>
      </c>
      <c r="K17" s="1" t="s">
        <v>4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  <c r="Q17" t="str">
        <f t="shared" si="5"/>
        <v/>
      </c>
    </row>
    <row r="18" spans="1:17" ht="27.6" x14ac:dyDescent="0.25">
      <c r="A18" s="6" t="s">
        <v>87</v>
      </c>
      <c r="B18" s="6"/>
      <c r="C18" t="s">
        <v>3</v>
      </c>
      <c r="D18" t="s">
        <v>3</v>
      </c>
      <c r="H18" s="6" t="s">
        <v>87</v>
      </c>
      <c r="I18" s="6" t="s">
        <v>113</v>
      </c>
      <c r="J18" s="1" t="s">
        <v>4</v>
      </c>
      <c r="K18" s="1" t="s">
        <v>4</v>
      </c>
      <c r="L18" t="str">
        <f t="shared" si="0"/>
        <v/>
      </c>
      <c r="M18" t="str">
        <f t="shared" si="1"/>
        <v>√</v>
      </c>
      <c r="N18" t="str">
        <f t="shared" si="2"/>
        <v>√</v>
      </c>
      <c r="O18" t="str">
        <f t="shared" si="3"/>
        <v/>
      </c>
      <c r="P18" t="str">
        <f t="shared" si="4"/>
        <v/>
      </c>
      <c r="Q18" t="str">
        <f t="shared" si="5"/>
        <v/>
      </c>
    </row>
    <row r="19" spans="1:17" ht="27.6" x14ac:dyDescent="0.25">
      <c r="A19" s="6" t="s">
        <v>86</v>
      </c>
      <c r="B19" s="6"/>
      <c r="C19" t="s">
        <v>3</v>
      </c>
      <c r="D19" t="s">
        <v>3</v>
      </c>
      <c r="H19" s="6" t="s">
        <v>86</v>
      </c>
      <c r="I19" s="6" t="s">
        <v>113</v>
      </c>
      <c r="J19" s="1" t="s">
        <v>121</v>
      </c>
      <c r="K19" s="1" t="s">
        <v>126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t="str">
        <f t="shared" si="5"/>
        <v/>
      </c>
    </row>
    <row r="20" spans="1:17" ht="27.6" x14ac:dyDescent="0.25">
      <c r="A20" s="6" t="s">
        <v>85</v>
      </c>
      <c r="B20" s="6"/>
      <c r="C20" t="s">
        <v>3</v>
      </c>
      <c r="D20" t="s">
        <v>3</v>
      </c>
      <c r="H20" s="6" t="s">
        <v>85</v>
      </c>
      <c r="I20" s="6" t="s">
        <v>113</v>
      </c>
      <c r="J20" s="1" t="s">
        <v>121</v>
      </c>
      <c r="K20" t="s">
        <v>4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t="str">
        <f t="shared" si="5"/>
        <v/>
      </c>
    </row>
    <row r="21" spans="1:17" ht="27.6" x14ac:dyDescent="0.25">
      <c r="A21" s="6" t="s">
        <v>83</v>
      </c>
      <c r="B21" s="6"/>
      <c r="C21" t="s">
        <v>3</v>
      </c>
      <c r="D21" t="s">
        <v>3</v>
      </c>
      <c r="H21" s="6" t="s">
        <v>83</v>
      </c>
      <c r="I21" s="6" t="s">
        <v>113</v>
      </c>
      <c r="J21" s="1" t="s">
        <v>121</v>
      </c>
      <c r="K21" t="s">
        <v>4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t="str">
        <f t="shared" si="5"/>
        <v/>
      </c>
    </row>
    <row r="22" spans="1:17" ht="27.6" x14ac:dyDescent="0.25">
      <c r="A22" s="6" t="s">
        <v>81</v>
      </c>
      <c r="B22" s="6"/>
      <c r="C22" t="s">
        <v>3</v>
      </c>
      <c r="D22" t="s">
        <v>3</v>
      </c>
      <c r="H22" s="6" t="s">
        <v>81</v>
      </c>
      <c r="I22" s="6" t="s">
        <v>113</v>
      </c>
      <c r="J22" s="1" t="s">
        <v>121</v>
      </c>
      <c r="K22" t="s">
        <v>4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  <c r="Q22" t="str">
        <f t="shared" si="5"/>
        <v/>
      </c>
    </row>
    <row r="23" spans="1:17" ht="41.4" x14ac:dyDescent="0.25">
      <c r="A23" s="6" t="s">
        <v>79</v>
      </c>
      <c r="B23" s="6"/>
      <c r="C23" t="s">
        <v>3</v>
      </c>
      <c r="D23" t="s">
        <v>3</v>
      </c>
      <c r="H23" s="6" t="s">
        <v>79</v>
      </c>
      <c r="I23" s="6" t="s">
        <v>113</v>
      </c>
      <c r="J23" s="1" t="s">
        <v>121</v>
      </c>
      <c r="K23" t="s">
        <v>4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  <c r="Q23" t="str">
        <f t="shared" si="5"/>
        <v/>
      </c>
    </row>
    <row r="24" spans="1:17" ht="27.6" x14ac:dyDescent="0.25">
      <c r="A24" s="6" t="s">
        <v>77</v>
      </c>
      <c r="B24" s="6"/>
      <c r="C24" t="s">
        <v>3</v>
      </c>
      <c r="D24" t="s">
        <v>3</v>
      </c>
      <c r="H24" s="6" t="s">
        <v>77</v>
      </c>
      <c r="I24" s="6" t="s">
        <v>113</v>
      </c>
      <c r="J24" s="1" t="s">
        <v>4</v>
      </c>
      <c r="K24" t="s">
        <v>4</v>
      </c>
      <c r="L24" t="str">
        <f t="shared" si="0"/>
        <v/>
      </c>
      <c r="M24" t="str">
        <f t="shared" si="1"/>
        <v>√</v>
      </c>
      <c r="N24" t="str">
        <f t="shared" si="2"/>
        <v>√</v>
      </c>
      <c r="O24" t="str">
        <f t="shared" si="3"/>
        <v/>
      </c>
      <c r="P24" t="str">
        <f t="shared" si="4"/>
        <v/>
      </c>
      <c r="Q24" t="str">
        <f t="shared" si="5"/>
        <v/>
      </c>
    </row>
    <row r="25" spans="1:17" ht="41.4" x14ac:dyDescent="0.25">
      <c r="A25" s="6" t="s">
        <v>75</v>
      </c>
      <c r="B25" s="6"/>
      <c r="C25" t="s">
        <v>3</v>
      </c>
      <c r="D25" t="s">
        <v>3</v>
      </c>
      <c r="G25" t="s">
        <v>3</v>
      </c>
      <c r="H25" s="6" t="s">
        <v>75</v>
      </c>
      <c r="I25" s="6" t="s">
        <v>113</v>
      </c>
      <c r="J25" s="1" t="s">
        <v>121</v>
      </c>
      <c r="K25" t="s">
        <v>125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t="str">
        <f t="shared" si="5"/>
        <v/>
      </c>
    </row>
    <row r="26" spans="1:17" ht="41.4" x14ac:dyDescent="0.25">
      <c r="A26" s="6" t="s">
        <v>74</v>
      </c>
      <c r="B26" s="6"/>
      <c r="C26" t="s">
        <v>3</v>
      </c>
      <c r="D26" t="s">
        <v>3</v>
      </c>
      <c r="G26" t="s">
        <v>3</v>
      </c>
      <c r="H26" s="6" t="s">
        <v>74</v>
      </c>
      <c r="I26" s="6" t="s">
        <v>113</v>
      </c>
      <c r="J26" s="1" t="s">
        <v>121</v>
      </c>
      <c r="K26" t="s">
        <v>4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  <c r="Q26" t="str">
        <f t="shared" si="5"/>
        <v/>
      </c>
    </row>
    <row r="27" spans="1:17" ht="41.4" x14ac:dyDescent="0.25">
      <c r="A27" s="6" t="s">
        <v>72</v>
      </c>
      <c r="B27" s="6"/>
      <c r="C27" t="s">
        <v>3</v>
      </c>
      <c r="D27" t="s">
        <v>3</v>
      </c>
      <c r="F27" t="s">
        <v>3</v>
      </c>
      <c r="H27" s="6" t="s">
        <v>72</v>
      </c>
      <c r="I27" s="6" t="s">
        <v>113</v>
      </c>
      <c r="J27" s="1" t="s">
        <v>121</v>
      </c>
      <c r="K27" t="s">
        <v>4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  <c r="Q27" t="str">
        <f t="shared" si="5"/>
        <v/>
      </c>
    </row>
    <row r="28" spans="1:17" ht="41.4" x14ac:dyDescent="0.25">
      <c r="A28" s="6" t="s">
        <v>70</v>
      </c>
      <c r="B28" s="6"/>
      <c r="C28" t="s">
        <v>3</v>
      </c>
      <c r="D28" t="s">
        <v>3</v>
      </c>
      <c r="F28" t="s">
        <v>3</v>
      </c>
      <c r="H28" s="6" t="s">
        <v>70</v>
      </c>
      <c r="I28" s="6" t="s">
        <v>113</v>
      </c>
      <c r="J28" s="1" t="s">
        <v>122</v>
      </c>
      <c r="K28" t="s">
        <v>4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  <c r="Q28" t="str">
        <f t="shared" si="5"/>
        <v/>
      </c>
    </row>
    <row r="29" spans="1:17" ht="41.4" x14ac:dyDescent="0.25">
      <c r="A29" s="6" t="s">
        <v>69</v>
      </c>
      <c r="B29" s="6"/>
      <c r="C29" t="s">
        <v>3</v>
      </c>
      <c r="D29" t="s">
        <v>3</v>
      </c>
      <c r="F29" t="s">
        <v>3</v>
      </c>
      <c r="H29" s="6" t="s">
        <v>69</v>
      </c>
      <c r="I29" s="6" t="s">
        <v>113</v>
      </c>
      <c r="J29" s="1" t="s">
        <v>121</v>
      </c>
      <c r="K29" t="s">
        <v>126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t="str">
        <f t="shared" si="5"/>
        <v/>
      </c>
    </row>
    <row r="30" spans="1:17" ht="41.4" x14ac:dyDescent="0.25">
      <c r="A30" s="6" t="s">
        <v>67</v>
      </c>
      <c r="B30" s="6"/>
      <c r="C30" t="s">
        <v>3</v>
      </c>
      <c r="D30" t="s">
        <v>3</v>
      </c>
      <c r="F30" t="s">
        <v>3</v>
      </c>
      <c r="H30" s="6" t="s">
        <v>67</v>
      </c>
      <c r="I30" s="6" t="s">
        <v>113</v>
      </c>
      <c r="J30" s="1" t="s">
        <v>121</v>
      </c>
      <c r="K30" t="s">
        <v>4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  <c r="Q30" t="str">
        <f t="shared" si="5"/>
        <v/>
      </c>
    </row>
    <row r="31" spans="1:17" ht="41.4" x14ac:dyDescent="0.25">
      <c r="A31" s="6" t="s">
        <v>65</v>
      </c>
      <c r="B31" s="6"/>
      <c r="C31" t="s">
        <v>3</v>
      </c>
      <c r="D31" t="s">
        <v>3</v>
      </c>
      <c r="F31" t="s">
        <v>3</v>
      </c>
      <c r="H31" s="6" t="s">
        <v>65</v>
      </c>
      <c r="I31" s="6" t="s">
        <v>113</v>
      </c>
      <c r="J31" s="1" t="s">
        <v>121</v>
      </c>
      <c r="K31" t="s">
        <v>4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  <c r="Q31" t="str">
        <f t="shared" si="5"/>
        <v/>
      </c>
    </row>
    <row r="32" spans="1:17" ht="55.2" x14ac:dyDescent="0.25">
      <c r="A32" s="6" t="s">
        <v>63</v>
      </c>
      <c r="B32" s="6"/>
      <c r="C32" t="s">
        <v>3</v>
      </c>
      <c r="D32" s="1"/>
      <c r="F32" t="s">
        <v>3</v>
      </c>
      <c r="H32" s="6" t="s">
        <v>63</v>
      </c>
      <c r="I32" s="6" t="s">
        <v>114</v>
      </c>
      <c r="J32" s="1" t="s">
        <v>4</v>
      </c>
      <c r="K32" s="1" t="s">
        <v>127</v>
      </c>
      <c r="L32" t="str">
        <f t="shared" si="0"/>
        <v/>
      </c>
      <c r="M32" t="str">
        <f t="shared" si="1"/>
        <v>√</v>
      </c>
      <c r="N32" t="str">
        <f t="shared" si="2"/>
        <v/>
      </c>
      <c r="O32" t="str">
        <f t="shared" si="3"/>
        <v/>
      </c>
      <c r="P32" t="str">
        <f t="shared" si="4"/>
        <v>√</v>
      </c>
      <c r="Q32" t="str">
        <f t="shared" si="5"/>
        <v/>
      </c>
    </row>
    <row r="33" spans="1:17" ht="41.4" x14ac:dyDescent="0.25">
      <c r="A33" s="6" t="s">
        <v>105</v>
      </c>
      <c r="B33" s="6"/>
      <c r="C33" t="s">
        <v>3</v>
      </c>
      <c r="D33" t="s">
        <v>3</v>
      </c>
      <c r="F33" t="s">
        <v>3</v>
      </c>
      <c r="H33" s="6" t="s">
        <v>105</v>
      </c>
      <c r="I33" s="6" t="s">
        <v>113</v>
      </c>
      <c r="J33" s="1" t="s">
        <v>121</v>
      </c>
      <c r="K33" t="s">
        <v>4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t="str">
        <f t="shared" si="5"/>
        <v/>
      </c>
    </row>
    <row r="34" spans="1:17" ht="55.2" x14ac:dyDescent="0.25">
      <c r="A34" s="6" t="s">
        <v>106</v>
      </c>
      <c r="B34" s="6"/>
      <c r="C34" t="s">
        <v>3</v>
      </c>
      <c r="D34" s="1"/>
      <c r="F34" t="s">
        <v>3</v>
      </c>
      <c r="H34" s="6" t="s">
        <v>106</v>
      </c>
      <c r="I34" s="6" t="s">
        <v>113</v>
      </c>
      <c r="J34" s="1" t="s">
        <v>121</v>
      </c>
      <c r="K34" s="1" t="s">
        <v>126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t="str">
        <f t="shared" si="5"/>
        <v/>
      </c>
    </row>
    <row r="35" spans="1:17" ht="27.6" x14ac:dyDescent="0.25">
      <c r="A35" s="6" t="s">
        <v>107</v>
      </c>
      <c r="B35" s="6"/>
      <c r="C35" t="s">
        <v>3</v>
      </c>
      <c r="D35" s="1"/>
      <c r="F35" t="s">
        <v>3</v>
      </c>
      <c r="H35" s="6" t="s">
        <v>107</v>
      </c>
      <c r="I35" s="6" t="s">
        <v>113</v>
      </c>
      <c r="J35" s="1" t="s">
        <v>121</v>
      </c>
      <c r="K35" s="1" t="s">
        <v>4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t="str">
        <f t="shared" si="5"/>
        <v/>
      </c>
    </row>
    <row r="36" spans="1:17" ht="27.6" x14ac:dyDescent="0.25">
      <c r="A36" s="6" t="s">
        <v>61</v>
      </c>
      <c r="B36" s="6"/>
      <c r="C36" t="s">
        <v>3</v>
      </c>
      <c r="D36" s="1"/>
      <c r="E36" t="s">
        <v>3</v>
      </c>
      <c r="H36" s="6" t="s">
        <v>136</v>
      </c>
      <c r="I36" s="6" t="s">
        <v>113</v>
      </c>
      <c r="J36" s="1" t="s">
        <v>4</v>
      </c>
      <c r="K36" s="1" t="s">
        <v>4</v>
      </c>
      <c r="L36" t="str">
        <f t="shared" si="0"/>
        <v/>
      </c>
      <c r="M36" t="str">
        <f t="shared" si="1"/>
        <v>√</v>
      </c>
      <c r="N36" t="str">
        <f t="shared" si="2"/>
        <v/>
      </c>
      <c r="O36" t="str">
        <f t="shared" si="3"/>
        <v>√</v>
      </c>
      <c r="P36" t="str">
        <f t="shared" si="4"/>
        <v/>
      </c>
      <c r="Q36" t="str">
        <f t="shared" si="5"/>
        <v/>
      </c>
    </row>
    <row r="37" spans="1:17" ht="27.6" x14ac:dyDescent="0.25">
      <c r="A37" s="6" t="s">
        <v>59</v>
      </c>
      <c r="B37" s="6"/>
      <c r="C37" t="s">
        <v>3</v>
      </c>
      <c r="D37" s="1" t="s">
        <v>3</v>
      </c>
      <c r="E37" t="s">
        <v>3</v>
      </c>
      <c r="G37" t="s">
        <v>3</v>
      </c>
      <c r="H37" s="6" t="s">
        <v>137</v>
      </c>
      <c r="I37" s="6" t="s">
        <v>113</v>
      </c>
      <c r="J37" s="1" t="s">
        <v>121</v>
      </c>
      <c r="K37" s="1" t="s">
        <v>117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t="str">
        <f t="shared" si="5"/>
        <v/>
      </c>
    </row>
    <row r="38" spans="1:17" ht="27.6" x14ac:dyDescent="0.25">
      <c r="A38" s="6" t="s">
        <v>57</v>
      </c>
      <c r="B38" s="6"/>
      <c r="C38" t="s">
        <v>3</v>
      </c>
      <c r="E38" t="s">
        <v>3</v>
      </c>
      <c r="H38" s="6" t="s">
        <v>138</v>
      </c>
      <c r="I38" s="6" t="s">
        <v>113</v>
      </c>
      <c r="J38" s="1" t="s">
        <v>122</v>
      </c>
      <c r="K38" s="1" t="s">
        <v>118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t="str">
        <f t="shared" si="5"/>
        <v/>
      </c>
    </row>
    <row r="39" spans="1:17" ht="41.4" x14ac:dyDescent="0.25">
      <c r="A39" s="6" t="s">
        <v>55</v>
      </c>
      <c r="B39" s="6"/>
      <c r="C39" t="s">
        <v>3</v>
      </c>
      <c r="D39" s="1"/>
      <c r="E39" t="s">
        <v>3</v>
      </c>
      <c r="H39" s="6" t="s">
        <v>139</v>
      </c>
      <c r="I39" s="6" t="s">
        <v>4</v>
      </c>
      <c r="J39" s="1" t="s">
        <v>4</v>
      </c>
      <c r="K39" s="1" t="s">
        <v>118</v>
      </c>
      <c r="L39" t="str">
        <f t="shared" si="0"/>
        <v/>
      </c>
      <c r="M39" t="str">
        <f t="shared" si="1"/>
        <v>√</v>
      </c>
      <c r="N39" t="str">
        <f t="shared" si="2"/>
        <v/>
      </c>
      <c r="O39" t="str">
        <f t="shared" si="3"/>
        <v>√</v>
      </c>
      <c r="P39" t="str">
        <f t="shared" si="4"/>
        <v/>
      </c>
      <c r="Q39" t="str">
        <f t="shared" si="5"/>
        <v/>
      </c>
    </row>
    <row r="40" spans="1:17" ht="41.4" x14ac:dyDescent="0.25">
      <c r="A40" s="6" t="s">
        <v>53</v>
      </c>
      <c r="B40" s="6"/>
      <c r="C40" t="s">
        <v>3</v>
      </c>
      <c r="E40" t="s">
        <v>3</v>
      </c>
      <c r="G40" t="s">
        <v>3</v>
      </c>
      <c r="H40" s="6" t="s">
        <v>140</v>
      </c>
      <c r="I40" s="6" t="s">
        <v>113</v>
      </c>
      <c r="J40" s="1" t="s">
        <v>121</v>
      </c>
      <c r="K40" s="1" t="s">
        <v>4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/>
      </c>
      <c r="P40" t="str">
        <f t="shared" si="4"/>
        <v/>
      </c>
      <c r="Q40" t="str">
        <f t="shared" si="5"/>
        <v/>
      </c>
    </row>
    <row r="41" spans="1:17" ht="41.4" x14ac:dyDescent="0.25">
      <c r="A41" s="6" t="s">
        <v>51</v>
      </c>
      <c r="B41" s="6"/>
      <c r="C41" t="s">
        <v>3</v>
      </c>
      <c r="D41" s="1"/>
      <c r="E41" t="s">
        <v>3</v>
      </c>
      <c r="H41" s="6" t="s">
        <v>141</v>
      </c>
      <c r="I41" s="6" t="s">
        <v>113</v>
      </c>
      <c r="J41" s="1" t="s">
        <v>124</v>
      </c>
      <c r="K41" s="1" t="s">
        <v>118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</row>
    <row r="42" spans="1:17" ht="27.6" x14ac:dyDescent="0.25">
      <c r="A42" s="6" t="s">
        <v>49</v>
      </c>
      <c r="B42" s="6"/>
      <c r="C42" t="s">
        <v>3</v>
      </c>
      <c r="D42" s="1" t="s">
        <v>3</v>
      </c>
      <c r="E42" t="s">
        <v>3</v>
      </c>
      <c r="H42" s="6" t="s">
        <v>142</v>
      </c>
      <c r="I42" s="6" t="s">
        <v>113</v>
      </c>
      <c r="J42" s="1" t="s">
        <v>122</v>
      </c>
      <c r="K42" s="1" t="s">
        <v>4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/>
      </c>
      <c r="P42" t="str">
        <f t="shared" si="4"/>
        <v/>
      </c>
      <c r="Q42" t="str">
        <f t="shared" si="5"/>
        <v/>
      </c>
    </row>
    <row r="43" spans="1:17" x14ac:dyDescent="0.25">
      <c r="A43" s="6" t="s">
        <v>47</v>
      </c>
      <c r="B43" s="6"/>
      <c r="C43" t="s">
        <v>3</v>
      </c>
      <c r="E43" t="s">
        <v>3</v>
      </c>
      <c r="H43" s="6" t="s">
        <v>143</v>
      </c>
      <c r="I43" s="6" t="s">
        <v>113</v>
      </c>
      <c r="J43" s="1" t="s">
        <v>4</v>
      </c>
      <c r="K43" s="1" t="s">
        <v>4</v>
      </c>
      <c r="L43" t="str">
        <f t="shared" si="0"/>
        <v/>
      </c>
      <c r="M43" t="str">
        <f t="shared" si="1"/>
        <v>√</v>
      </c>
      <c r="N43" t="str">
        <f t="shared" si="2"/>
        <v/>
      </c>
      <c r="O43" t="str">
        <f t="shared" si="3"/>
        <v>√</v>
      </c>
      <c r="P43" t="str">
        <f t="shared" si="4"/>
        <v/>
      </c>
      <c r="Q43" t="str">
        <f t="shared" si="5"/>
        <v/>
      </c>
    </row>
    <row r="44" spans="1:17" ht="69" x14ac:dyDescent="0.25">
      <c r="A44" s="6" t="s">
        <v>45</v>
      </c>
      <c r="B44" s="6"/>
      <c r="C44" t="s">
        <v>3</v>
      </c>
      <c r="E44" t="s">
        <v>3</v>
      </c>
      <c r="H44" s="6" t="s">
        <v>135</v>
      </c>
      <c r="I44" s="6" t="s">
        <v>113</v>
      </c>
      <c r="J44" s="1" t="s">
        <v>121</v>
      </c>
      <c r="K44" s="1" t="s">
        <v>4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t="str">
        <f t="shared" si="5"/>
        <v/>
      </c>
    </row>
    <row r="45" spans="1:17" ht="27.6" x14ac:dyDescent="0.25">
      <c r="A45" s="6" t="s">
        <v>43</v>
      </c>
      <c r="B45" s="6"/>
      <c r="C45" t="s">
        <v>3</v>
      </c>
      <c r="E45" t="s">
        <v>3</v>
      </c>
      <c r="H45" s="6" t="s">
        <v>134</v>
      </c>
      <c r="I45" s="6" t="s">
        <v>113</v>
      </c>
      <c r="J45" s="1" t="s">
        <v>4</v>
      </c>
      <c r="K45" s="1" t="s">
        <v>118</v>
      </c>
      <c r="L45" t="str">
        <f t="shared" si="0"/>
        <v/>
      </c>
      <c r="M45" t="str">
        <f t="shared" si="1"/>
        <v>√</v>
      </c>
      <c r="N45" t="str">
        <f t="shared" si="2"/>
        <v/>
      </c>
      <c r="O45" t="str">
        <f t="shared" si="3"/>
        <v>√</v>
      </c>
      <c r="P45" t="str">
        <f t="shared" si="4"/>
        <v/>
      </c>
      <c r="Q45" t="str">
        <f t="shared" si="5"/>
        <v/>
      </c>
    </row>
    <row r="46" spans="1:17" ht="27.6" x14ac:dyDescent="0.25">
      <c r="A46" s="6" t="s">
        <v>41</v>
      </c>
      <c r="B46" s="6"/>
      <c r="C46" t="s">
        <v>3</v>
      </c>
      <c r="E46" t="s">
        <v>3</v>
      </c>
      <c r="G46" t="s">
        <v>3</v>
      </c>
      <c r="H46" s="6" t="s">
        <v>133</v>
      </c>
      <c r="I46" s="6" t="s">
        <v>113</v>
      </c>
      <c r="J46" s="1" t="s">
        <v>121</v>
      </c>
      <c r="K46" s="1" t="s">
        <v>119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t="str">
        <f t="shared" si="5"/>
        <v/>
      </c>
    </row>
    <row r="47" spans="1:17" ht="27.6" x14ac:dyDescent="0.25">
      <c r="A47" s="6" t="s">
        <v>39</v>
      </c>
      <c r="B47" s="6"/>
      <c r="C47" t="s">
        <v>3</v>
      </c>
      <c r="D47" s="1"/>
      <c r="E47" t="s">
        <v>3</v>
      </c>
      <c r="H47" s="6" t="s">
        <v>132</v>
      </c>
      <c r="I47" s="6" t="s">
        <v>113</v>
      </c>
      <c r="J47" s="1" t="s">
        <v>4</v>
      </c>
      <c r="K47" s="1" t="s">
        <v>118</v>
      </c>
      <c r="L47" t="str">
        <f t="shared" si="0"/>
        <v/>
      </c>
      <c r="M47" t="str">
        <f t="shared" si="1"/>
        <v>√</v>
      </c>
      <c r="N47" t="str">
        <f t="shared" si="2"/>
        <v/>
      </c>
      <c r="O47" t="str">
        <f t="shared" si="3"/>
        <v>√</v>
      </c>
      <c r="P47" t="str">
        <f t="shared" si="4"/>
        <v/>
      </c>
      <c r="Q47" t="str">
        <f t="shared" si="5"/>
        <v/>
      </c>
    </row>
    <row r="48" spans="1:17" ht="41.4" x14ac:dyDescent="0.25">
      <c r="A48" s="6" t="s">
        <v>37</v>
      </c>
      <c r="B48" s="6"/>
      <c r="C48" t="s">
        <v>4</v>
      </c>
      <c r="E48" t="s">
        <v>3</v>
      </c>
      <c r="H48" s="6" t="s">
        <v>131</v>
      </c>
      <c r="I48" s="6" t="s">
        <v>113</v>
      </c>
      <c r="J48" t="s">
        <v>123</v>
      </c>
      <c r="K48" s="1" t="s">
        <v>118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t="str">
        <f t="shared" si="5"/>
        <v/>
      </c>
    </row>
    <row r="49" spans="1:17" ht="41.4" x14ac:dyDescent="0.25">
      <c r="A49" s="6" t="s">
        <v>35</v>
      </c>
      <c r="B49" s="6"/>
      <c r="C49" t="s">
        <v>3</v>
      </c>
      <c r="D49" s="1"/>
      <c r="E49" t="s">
        <v>3</v>
      </c>
      <c r="H49" s="6" t="s">
        <v>130</v>
      </c>
      <c r="I49" s="6" t="s">
        <v>113</v>
      </c>
      <c r="J49" s="1" t="s">
        <v>120</v>
      </c>
      <c r="K49" s="1" t="s">
        <v>120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t="str">
        <f t="shared" si="5"/>
        <v/>
      </c>
    </row>
    <row r="50" spans="1:17" ht="27.6" x14ac:dyDescent="0.25">
      <c r="A50" s="6" t="s">
        <v>32</v>
      </c>
      <c r="B50" s="6"/>
      <c r="C50" t="s">
        <v>3</v>
      </c>
      <c r="D50" s="1"/>
      <c r="E50" t="s">
        <v>3</v>
      </c>
      <c r="H50" s="6" t="s">
        <v>129</v>
      </c>
      <c r="I50" s="6" t="s">
        <v>113</v>
      </c>
      <c r="J50" s="1" t="s">
        <v>121</v>
      </c>
      <c r="K50" s="1" t="s">
        <v>4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/>
      </c>
      <c r="P50" t="str">
        <f t="shared" si="4"/>
        <v/>
      </c>
      <c r="Q50" t="str">
        <f t="shared" si="5"/>
        <v/>
      </c>
    </row>
    <row r="51" spans="1:17" ht="27.6" x14ac:dyDescent="0.25">
      <c r="A51" s="6" t="s">
        <v>31</v>
      </c>
      <c r="B51" s="6"/>
      <c r="C51" t="s">
        <v>3</v>
      </c>
      <c r="D51" s="1"/>
      <c r="E51" t="s">
        <v>3</v>
      </c>
      <c r="H51" s="6" t="s">
        <v>128</v>
      </c>
      <c r="I51" s="6" t="s">
        <v>113</v>
      </c>
      <c r="J51" s="1" t="s">
        <v>4</v>
      </c>
      <c r="K51" s="1" t="s">
        <v>118</v>
      </c>
      <c r="L51" t="str">
        <f t="shared" si="0"/>
        <v/>
      </c>
      <c r="M51" t="str">
        <f t="shared" si="1"/>
        <v>√</v>
      </c>
      <c r="N51" t="str">
        <f t="shared" si="2"/>
        <v/>
      </c>
      <c r="O51" t="str">
        <f t="shared" si="3"/>
        <v>√</v>
      </c>
      <c r="P51" t="str">
        <f t="shared" si="4"/>
        <v/>
      </c>
      <c r="Q51" t="str">
        <f t="shared" si="5"/>
        <v/>
      </c>
    </row>
    <row r="52" spans="1:17" x14ac:dyDescent="0.25">
      <c r="A52" s="1"/>
      <c r="B52" s="1">
        <f>COUNTA(B2:B51)</f>
        <v>12</v>
      </c>
      <c r="C52" s="1">
        <f>COUNTA(C2:C51)</f>
        <v>38</v>
      </c>
      <c r="D52" s="1">
        <f t="shared" ref="D52:G52" si="6">COUNTA(D2:D51)</f>
        <v>21</v>
      </c>
      <c r="E52" s="1">
        <f t="shared" si="6"/>
        <v>16</v>
      </c>
      <c r="F52" s="1">
        <f t="shared" si="6"/>
        <v>9</v>
      </c>
      <c r="G52" s="1">
        <f t="shared" si="6"/>
        <v>11</v>
      </c>
      <c r="H52" s="1"/>
      <c r="I52" s="1">
        <f>COUNTIF(I2:I51,"√")</f>
        <v>10</v>
      </c>
      <c r="J52" s="1">
        <f t="shared" ref="J52:Q52" si="7">COUNTIF(J2:J51,"√")</f>
        <v>19</v>
      </c>
      <c r="K52" s="1">
        <f t="shared" si="7"/>
        <v>31</v>
      </c>
      <c r="L52" s="1">
        <f t="shared" si="7"/>
        <v>10</v>
      </c>
      <c r="M52" s="1">
        <f t="shared" si="7"/>
        <v>9</v>
      </c>
      <c r="N52" s="1">
        <f t="shared" si="7"/>
        <v>2</v>
      </c>
      <c r="O52" s="1">
        <f t="shared" si="7"/>
        <v>6</v>
      </c>
      <c r="P52" s="1">
        <f t="shared" si="7"/>
        <v>1</v>
      </c>
      <c r="Q52" s="1">
        <f t="shared" si="7"/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D35A-1B25-4656-8EC4-97E99004A510}">
  <dimension ref="A1:Q52"/>
  <sheetViews>
    <sheetView topLeftCell="B1" zoomScaleNormal="100" workbookViewId="0">
      <pane ySplit="1" topLeftCell="A49" activePane="bottomLeft" state="frozen"/>
      <selection pane="bottomLeft" activeCell="L52" sqref="L52:Q52"/>
    </sheetView>
  </sheetViews>
  <sheetFormatPr defaultRowHeight="13.8" x14ac:dyDescent="0.25"/>
  <cols>
    <col min="1" max="1" width="20.5546875" customWidth="1"/>
    <col min="2" max="2" width="14.44140625" customWidth="1"/>
    <col min="6" max="6" width="14" customWidth="1"/>
    <col min="7" max="7" width="14.5546875" customWidth="1"/>
    <col min="8" max="8" width="31" customWidth="1"/>
    <col min="9" max="9" width="12.21875" customWidth="1"/>
  </cols>
  <sheetData>
    <row r="1" spans="1:17" x14ac:dyDescent="0.25">
      <c r="A1" s="1"/>
      <c r="B1" s="1" t="s">
        <v>2</v>
      </c>
      <c r="C1" s="1" t="s">
        <v>93</v>
      </c>
      <c r="D1" s="1" t="s">
        <v>94</v>
      </c>
      <c r="E1" t="s">
        <v>95</v>
      </c>
      <c r="F1" t="s">
        <v>1</v>
      </c>
      <c r="G1" t="s">
        <v>104</v>
      </c>
      <c r="H1" s="1"/>
      <c r="I1" s="8" t="s">
        <v>108</v>
      </c>
      <c r="J1" s="1" t="s">
        <v>109</v>
      </c>
      <c r="K1" s="1" t="s">
        <v>110</v>
      </c>
      <c r="L1" s="1" t="s">
        <v>2</v>
      </c>
      <c r="M1" s="1" t="s">
        <v>93</v>
      </c>
      <c r="N1" s="1" t="s">
        <v>94</v>
      </c>
      <c r="O1" t="s">
        <v>95</v>
      </c>
      <c r="P1" t="s">
        <v>1</v>
      </c>
      <c r="Q1" t="s">
        <v>104</v>
      </c>
    </row>
    <row r="2" spans="1:17" x14ac:dyDescent="0.25">
      <c r="A2" s="6" t="s">
        <v>0</v>
      </c>
      <c r="B2" s="6" t="s">
        <v>3</v>
      </c>
      <c r="C2" s="1"/>
      <c r="D2" s="1"/>
      <c r="H2" s="6" t="s">
        <v>0</v>
      </c>
      <c r="I2" s="6" t="s">
        <v>111</v>
      </c>
      <c r="J2" s="1" t="s">
        <v>4</v>
      </c>
      <c r="K2" s="1" t="s">
        <v>4</v>
      </c>
      <c r="L2" t="str">
        <f>IF(AND(B2="√",I2="√"), "√", "")</f>
        <v/>
      </c>
      <c r="M2" t="str">
        <f>IF(AND(C2="√", I2="√"), "√", "")</f>
        <v/>
      </c>
      <c r="N2" t="str">
        <f>IF(AND(D2="√", I2="√"), "√", "")</f>
        <v/>
      </c>
      <c r="O2" t="str">
        <f>IF(AND(E2="√",I2="√"), "√", "")</f>
        <v/>
      </c>
      <c r="P2" t="str">
        <f>IF(AND(F2="√", I2="√"), "√", "")</f>
        <v/>
      </c>
      <c r="Q2" t="str">
        <f>IF(AND(G2="√", I2="√"), "√", "")</f>
        <v/>
      </c>
    </row>
    <row r="3" spans="1:17" ht="27.6" x14ac:dyDescent="0.25">
      <c r="A3" s="6" t="s">
        <v>14</v>
      </c>
      <c r="B3" s="6" t="s">
        <v>4</v>
      </c>
      <c r="C3" s="1"/>
      <c r="D3" s="1"/>
      <c r="G3" t="s">
        <v>4</v>
      </c>
      <c r="H3" s="6" t="s">
        <v>14</v>
      </c>
      <c r="I3" s="6" t="s">
        <v>4</v>
      </c>
      <c r="J3" s="1" t="s">
        <v>4</v>
      </c>
      <c r="K3" s="1" t="s">
        <v>4</v>
      </c>
      <c r="L3" t="str">
        <f t="shared" ref="L3:L51" si="0">IF(AND(B3="√",I3="√"), "√", "")</f>
        <v>√</v>
      </c>
      <c r="M3" t="str">
        <f t="shared" ref="M3:M51" si="1">IF(AND(C3="√", I3="√"), "√", "")</f>
        <v/>
      </c>
      <c r="N3" t="str">
        <f t="shared" ref="N3:N51" si="2">IF(AND(D3="√", I3="√"), "√", "")</f>
        <v/>
      </c>
      <c r="O3" t="str">
        <f t="shared" ref="O3:O51" si="3">IF(AND(E3="√",I3="√"), "√", "")</f>
        <v/>
      </c>
      <c r="P3" t="str">
        <f t="shared" ref="P3:P51" si="4">IF(AND(F3="√", I3="√"), "√", "")</f>
        <v/>
      </c>
      <c r="Q3" t="str">
        <f t="shared" ref="Q3:Q51" si="5">IF(AND(G3="√", I3="√"), "√", "")</f>
        <v>√</v>
      </c>
    </row>
    <row r="4" spans="1:17" x14ac:dyDescent="0.25">
      <c r="A4" s="6" t="s">
        <v>15</v>
      </c>
      <c r="B4" s="6" t="s">
        <v>3</v>
      </c>
      <c r="D4" s="1"/>
      <c r="G4" t="s">
        <v>4</v>
      </c>
      <c r="H4" s="6" t="s">
        <v>15</v>
      </c>
      <c r="I4" s="6" t="s">
        <v>4</v>
      </c>
      <c r="J4" s="1" t="s">
        <v>4</v>
      </c>
      <c r="K4" s="1" t="s">
        <v>4</v>
      </c>
      <c r="L4" t="str">
        <f t="shared" si="0"/>
        <v>√</v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>√</v>
      </c>
    </row>
    <row r="5" spans="1:17" ht="27.6" x14ac:dyDescent="0.25">
      <c r="A5" s="6" t="s">
        <v>16</v>
      </c>
      <c r="B5" s="6" t="s">
        <v>3</v>
      </c>
      <c r="C5" s="1"/>
      <c r="D5" s="1"/>
      <c r="H5" s="6" t="s">
        <v>16</v>
      </c>
      <c r="I5" s="6" t="s">
        <v>4</v>
      </c>
      <c r="J5" s="1" t="s">
        <v>4</v>
      </c>
      <c r="K5" s="1" t="s">
        <v>115</v>
      </c>
      <c r="L5" t="str">
        <f t="shared" si="0"/>
        <v>√</v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t="str">
        <f t="shared" si="5"/>
        <v/>
      </c>
    </row>
    <row r="6" spans="1:17" x14ac:dyDescent="0.25">
      <c r="A6" s="6" t="s">
        <v>17</v>
      </c>
      <c r="B6" s="6" t="s">
        <v>3</v>
      </c>
      <c r="C6" s="1"/>
      <c r="H6" s="6" t="s">
        <v>17</v>
      </c>
      <c r="I6" s="6" t="s">
        <v>111</v>
      </c>
      <c r="J6" s="1" t="s">
        <v>4</v>
      </c>
      <c r="K6" s="1" t="s">
        <v>4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t="str">
        <f t="shared" si="5"/>
        <v/>
      </c>
    </row>
    <row r="7" spans="1:17" x14ac:dyDescent="0.25">
      <c r="A7" s="6" t="s">
        <v>18</v>
      </c>
      <c r="B7" s="6" t="s">
        <v>3</v>
      </c>
      <c r="D7" s="1"/>
      <c r="G7" t="s">
        <v>4</v>
      </c>
      <c r="H7" s="6" t="s">
        <v>18</v>
      </c>
      <c r="I7" s="6" t="s">
        <v>4</v>
      </c>
      <c r="J7" s="1" t="s">
        <v>4</v>
      </c>
      <c r="K7" s="1" t="s">
        <v>4</v>
      </c>
      <c r="L7" t="str">
        <f t="shared" si="0"/>
        <v>√</v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t="str">
        <f t="shared" si="5"/>
        <v>√</v>
      </c>
    </row>
    <row r="8" spans="1:17" x14ac:dyDescent="0.25">
      <c r="A8" s="6" t="s">
        <v>19</v>
      </c>
      <c r="B8" s="6" t="s">
        <v>3</v>
      </c>
      <c r="C8" s="1"/>
      <c r="D8" s="1"/>
      <c r="H8" s="6" t="s">
        <v>19</v>
      </c>
      <c r="I8" s="6" t="s">
        <v>4</v>
      </c>
      <c r="J8" s="1" t="s">
        <v>4</v>
      </c>
      <c r="K8" s="1" t="s">
        <v>4</v>
      </c>
      <c r="L8" t="str">
        <f t="shared" si="0"/>
        <v>√</v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</row>
    <row r="9" spans="1:17" x14ac:dyDescent="0.25">
      <c r="A9" s="6" t="s">
        <v>20</v>
      </c>
      <c r="B9" s="6" t="s">
        <v>3</v>
      </c>
      <c r="C9" s="2"/>
      <c r="D9" s="1"/>
      <c r="H9" s="6" t="s">
        <v>20</v>
      </c>
      <c r="I9" s="6" t="s">
        <v>4</v>
      </c>
      <c r="J9" s="1" t="s">
        <v>4</v>
      </c>
      <c r="K9" s="1" t="s">
        <v>4</v>
      </c>
      <c r="L9" t="str">
        <f t="shared" si="0"/>
        <v>√</v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t="str">
        <f t="shared" si="5"/>
        <v/>
      </c>
    </row>
    <row r="10" spans="1:17" x14ac:dyDescent="0.25">
      <c r="A10" s="6" t="s">
        <v>21</v>
      </c>
      <c r="B10" s="6" t="s">
        <v>3</v>
      </c>
      <c r="C10" s="1"/>
      <c r="D10" s="1"/>
      <c r="H10" s="6" t="s">
        <v>21</v>
      </c>
      <c r="I10" s="6" t="s">
        <v>111</v>
      </c>
      <c r="J10" s="1" t="s">
        <v>4</v>
      </c>
      <c r="K10" s="1" t="s">
        <v>4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t="str">
        <f t="shared" si="5"/>
        <v/>
      </c>
    </row>
    <row r="11" spans="1:17" x14ac:dyDescent="0.25">
      <c r="A11" s="6" t="s">
        <v>22</v>
      </c>
      <c r="B11" s="6" t="s">
        <v>3</v>
      </c>
      <c r="C11" s="1"/>
      <c r="H11" s="6" t="s">
        <v>22</v>
      </c>
      <c r="I11" s="6" t="s">
        <v>4</v>
      </c>
      <c r="J11" s="1" t="s">
        <v>4</v>
      </c>
      <c r="K11" s="1" t="s">
        <v>4</v>
      </c>
      <c r="L11" t="str">
        <f t="shared" si="0"/>
        <v>√</v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t="str">
        <f t="shared" si="5"/>
        <v/>
      </c>
    </row>
    <row r="12" spans="1:17" ht="27.6" x14ac:dyDescent="0.25">
      <c r="A12" s="6" t="s">
        <v>23</v>
      </c>
      <c r="B12" s="6" t="s">
        <v>3</v>
      </c>
      <c r="H12" s="6" t="s">
        <v>23</v>
      </c>
      <c r="I12" s="6" t="s">
        <v>4</v>
      </c>
      <c r="J12" s="1" t="s">
        <v>116</v>
      </c>
      <c r="K12" s="1" t="s">
        <v>4</v>
      </c>
      <c r="L12" t="str">
        <f t="shared" si="0"/>
        <v>√</v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t="str">
        <f t="shared" si="5"/>
        <v/>
      </c>
    </row>
    <row r="13" spans="1:17" x14ac:dyDescent="0.25">
      <c r="A13" s="6" t="s">
        <v>24</v>
      </c>
      <c r="B13" s="6" t="s">
        <v>3</v>
      </c>
      <c r="C13" s="1"/>
      <c r="H13" s="6" t="s">
        <v>24</v>
      </c>
      <c r="I13" s="6" t="s">
        <v>112</v>
      </c>
      <c r="J13" s="1" t="s">
        <v>116</v>
      </c>
      <c r="K13" s="1" t="s">
        <v>116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t="str">
        <f t="shared" si="5"/>
        <v/>
      </c>
    </row>
    <row r="14" spans="1:17" ht="27.6" x14ac:dyDescent="0.25">
      <c r="A14" s="6" t="s">
        <v>26</v>
      </c>
      <c r="B14" s="6"/>
      <c r="C14" t="s">
        <v>4</v>
      </c>
      <c r="D14" s="1" t="s">
        <v>3</v>
      </c>
      <c r="G14" t="s">
        <v>3</v>
      </c>
      <c r="H14" s="6" t="s">
        <v>26</v>
      </c>
      <c r="I14" s="6" t="s">
        <v>112</v>
      </c>
      <c r="J14" s="1" t="s">
        <v>121</v>
      </c>
      <c r="K14" s="1" t="s">
        <v>116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t="str">
        <f t="shared" si="5"/>
        <v/>
      </c>
    </row>
    <row r="15" spans="1:17" ht="27.6" x14ac:dyDescent="0.25">
      <c r="A15" s="6" t="s">
        <v>28</v>
      </c>
      <c r="B15" s="6"/>
      <c r="C15" t="s">
        <v>3</v>
      </c>
      <c r="D15" s="1" t="s">
        <v>3</v>
      </c>
      <c r="G15" t="s">
        <v>3</v>
      </c>
      <c r="H15" s="6" t="s">
        <v>28</v>
      </c>
      <c r="I15" s="6" t="s">
        <v>113</v>
      </c>
      <c r="J15" s="1" t="s">
        <v>121</v>
      </c>
      <c r="K15" s="1" t="s">
        <v>4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  <c r="Q15" t="str">
        <f t="shared" si="5"/>
        <v/>
      </c>
    </row>
    <row r="16" spans="1:17" ht="27.6" x14ac:dyDescent="0.25">
      <c r="A16" s="6" t="s">
        <v>91</v>
      </c>
      <c r="B16" s="6"/>
      <c r="C16" t="s">
        <v>3</v>
      </c>
      <c r="D16" t="s">
        <v>4</v>
      </c>
      <c r="G16" t="s">
        <v>4</v>
      </c>
      <c r="H16" s="6" t="s">
        <v>91</v>
      </c>
      <c r="I16" s="6" t="s">
        <v>113</v>
      </c>
      <c r="J16" s="1" t="s">
        <v>121</v>
      </c>
      <c r="K16" s="1" t="s">
        <v>126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t="str">
        <f t="shared" si="5"/>
        <v/>
      </c>
    </row>
    <row r="17" spans="1:17" ht="27.6" x14ac:dyDescent="0.25">
      <c r="A17" s="6" t="s">
        <v>89</v>
      </c>
      <c r="B17" s="6"/>
      <c r="C17" t="s">
        <v>3</v>
      </c>
      <c r="D17" t="s">
        <v>3</v>
      </c>
      <c r="H17" s="6" t="s">
        <v>89</v>
      </c>
      <c r="I17" s="6" t="s">
        <v>4</v>
      </c>
      <c r="J17" s="1" t="s">
        <v>121</v>
      </c>
      <c r="K17" s="1" t="s">
        <v>4</v>
      </c>
      <c r="L17" t="str">
        <f t="shared" si="0"/>
        <v/>
      </c>
      <c r="M17" t="str">
        <f t="shared" si="1"/>
        <v>√</v>
      </c>
      <c r="N17" t="str">
        <f t="shared" si="2"/>
        <v>√</v>
      </c>
      <c r="O17" t="str">
        <f t="shared" si="3"/>
        <v/>
      </c>
      <c r="P17" t="str">
        <f t="shared" si="4"/>
        <v/>
      </c>
      <c r="Q17" t="str">
        <f t="shared" si="5"/>
        <v/>
      </c>
    </row>
    <row r="18" spans="1:17" ht="27.6" x14ac:dyDescent="0.25">
      <c r="A18" s="6" t="s">
        <v>87</v>
      </c>
      <c r="B18" s="6"/>
      <c r="C18" t="s">
        <v>3</v>
      </c>
      <c r="D18" t="s">
        <v>3</v>
      </c>
      <c r="H18" s="6" t="s">
        <v>87</v>
      </c>
      <c r="I18" s="6" t="s">
        <v>113</v>
      </c>
      <c r="J18" s="1" t="s">
        <v>4</v>
      </c>
      <c r="K18" s="1" t="s">
        <v>4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/>
      </c>
      <c r="P18" t="str">
        <f t="shared" si="4"/>
        <v/>
      </c>
      <c r="Q18" t="str">
        <f t="shared" si="5"/>
        <v/>
      </c>
    </row>
    <row r="19" spans="1:17" ht="27.6" x14ac:dyDescent="0.25">
      <c r="A19" s="6" t="s">
        <v>86</v>
      </c>
      <c r="B19" s="6"/>
      <c r="C19" t="s">
        <v>3</v>
      </c>
      <c r="D19" t="s">
        <v>3</v>
      </c>
      <c r="H19" s="6" t="s">
        <v>86</v>
      </c>
      <c r="I19" s="6" t="s">
        <v>113</v>
      </c>
      <c r="J19" s="1" t="s">
        <v>121</v>
      </c>
      <c r="K19" s="1" t="s">
        <v>126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t="str">
        <f t="shared" si="5"/>
        <v/>
      </c>
    </row>
    <row r="20" spans="1:17" ht="27.6" x14ac:dyDescent="0.25">
      <c r="A20" s="6" t="s">
        <v>85</v>
      </c>
      <c r="B20" s="6"/>
      <c r="C20" t="s">
        <v>3</v>
      </c>
      <c r="D20" t="s">
        <v>3</v>
      </c>
      <c r="H20" s="6" t="s">
        <v>85</v>
      </c>
      <c r="I20" s="6" t="s">
        <v>113</v>
      </c>
      <c r="J20" s="1" t="s">
        <v>121</v>
      </c>
      <c r="K20" t="s">
        <v>4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t="str">
        <f t="shared" si="5"/>
        <v/>
      </c>
    </row>
    <row r="21" spans="1:17" ht="27.6" x14ac:dyDescent="0.25">
      <c r="A21" s="6" t="s">
        <v>83</v>
      </c>
      <c r="B21" s="6"/>
      <c r="C21" t="s">
        <v>3</v>
      </c>
      <c r="D21" t="s">
        <v>3</v>
      </c>
      <c r="H21" s="6" t="s">
        <v>83</v>
      </c>
      <c r="I21" s="6" t="s">
        <v>113</v>
      </c>
      <c r="J21" s="1" t="s">
        <v>121</v>
      </c>
      <c r="K21" t="s">
        <v>4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t="str">
        <f t="shared" si="5"/>
        <v/>
      </c>
    </row>
    <row r="22" spans="1:17" ht="27.6" x14ac:dyDescent="0.25">
      <c r="A22" s="6" t="s">
        <v>81</v>
      </c>
      <c r="B22" s="6"/>
      <c r="C22" t="s">
        <v>3</v>
      </c>
      <c r="D22" t="s">
        <v>3</v>
      </c>
      <c r="H22" s="6" t="s">
        <v>81</v>
      </c>
      <c r="I22" s="6" t="s">
        <v>113</v>
      </c>
      <c r="J22" s="1" t="s">
        <v>121</v>
      </c>
      <c r="K22" t="s">
        <v>4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  <c r="Q22" t="str">
        <f t="shared" si="5"/>
        <v/>
      </c>
    </row>
    <row r="23" spans="1:17" ht="41.4" x14ac:dyDescent="0.25">
      <c r="A23" s="6" t="s">
        <v>79</v>
      </c>
      <c r="B23" s="6"/>
      <c r="C23" t="s">
        <v>3</v>
      </c>
      <c r="D23" t="s">
        <v>3</v>
      </c>
      <c r="H23" s="6" t="s">
        <v>79</v>
      </c>
      <c r="I23" s="6" t="s">
        <v>113</v>
      </c>
      <c r="J23" s="1" t="s">
        <v>121</v>
      </c>
      <c r="K23" t="s">
        <v>4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  <c r="Q23" t="str">
        <f t="shared" si="5"/>
        <v/>
      </c>
    </row>
    <row r="24" spans="1:17" ht="27.6" x14ac:dyDescent="0.25">
      <c r="A24" s="6" t="s">
        <v>77</v>
      </c>
      <c r="B24" s="6"/>
      <c r="C24" t="s">
        <v>3</v>
      </c>
      <c r="D24" t="s">
        <v>3</v>
      </c>
      <c r="H24" s="6" t="s">
        <v>77</v>
      </c>
      <c r="I24" s="6" t="s">
        <v>113</v>
      </c>
      <c r="J24" s="1" t="s">
        <v>4</v>
      </c>
      <c r="K24" t="s">
        <v>4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/>
      </c>
      <c r="P24" t="str">
        <f t="shared" si="4"/>
        <v/>
      </c>
      <c r="Q24" t="str">
        <f t="shared" si="5"/>
        <v/>
      </c>
    </row>
    <row r="25" spans="1:17" ht="41.4" x14ac:dyDescent="0.25">
      <c r="A25" s="6" t="s">
        <v>75</v>
      </c>
      <c r="B25" s="6"/>
      <c r="C25" t="s">
        <v>3</v>
      </c>
      <c r="D25" t="s">
        <v>3</v>
      </c>
      <c r="G25" t="s">
        <v>3</v>
      </c>
      <c r="H25" s="6" t="s">
        <v>75</v>
      </c>
      <c r="I25" s="6" t="s">
        <v>113</v>
      </c>
      <c r="J25" s="1" t="s">
        <v>121</v>
      </c>
      <c r="K25" t="s">
        <v>125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t="str">
        <f t="shared" si="5"/>
        <v/>
      </c>
    </row>
    <row r="26" spans="1:17" ht="27.6" x14ac:dyDescent="0.25">
      <c r="A26" s="6" t="s">
        <v>74</v>
      </c>
      <c r="B26" s="6"/>
      <c r="C26" t="s">
        <v>3</v>
      </c>
      <c r="D26" t="s">
        <v>3</v>
      </c>
      <c r="G26" t="s">
        <v>3</v>
      </c>
      <c r="H26" s="6" t="s">
        <v>74</v>
      </c>
      <c r="I26" s="6" t="s">
        <v>113</v>
      </c>
      <c r="J26" s="1" t="s">
        <v>121</v>
      </c>
      <c r="K26" t="s">
        <v>4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  <c r="Q26" t="str">
        <f t="shared" si="5"/>
        <v/>
      </c>
    </row>
    <row r="27" spans="1:17" ht="27.6" x14ac:dyDescent="0.25">
      <c r="A27" s="6" t="s">
        <v>72</v>
      </c>
      <c r="B27" s="6"/>
      <c r="C27" t="s">
        <v>3</v>
      </c>
      <c r="D27" t="s">
        <v>3</v>
      </c>
      <c r="F27" t="s">
        <v>3</v>
      </c>
      <c r="H27" s="6" t="s">
        <v>72</v>
      </c>
      <c r="I27" s="6" t="s">
        <v>113</v>
      </c>
      <c r="J27" s="1" t="s">
        <v>121</v>
      </c>
      <c r="K27" t="s">
        <v>4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  <c r="Q27" t="str">
        <f t="shared" si="5"/>
        <v/>
      </c>
    </row>
    <row r="28" spans="1:17" ht="41.4" x14ac:dyDescent="0.25">
      <c r="A28" s="6" t="s">
        <v>70</v>
      </c>
      <c r="B28" s="6"/>
      <c r="C28" t="s">
        <v>3</v>
      </c>
      <c r="D28" t="s">
        <v>3</v>
      </c>
      <c r="F28" t="s">
        <v>3</v>
      </c>
      <c r="H28" s="6" t="s">
        <v>70</v>
      </c>
      <c r="I28" s="6" t="s">
        <v>113</v>
      </c>
      <c r="J28" s="1" t="s">
        <v>122</v>
      </c>
      <c r="K28" t="s">
        <v>4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  <c r="Q28" t="str">
        <f t="shared" si="5"/>
        <v/>
      </c>
    </row>
    <row r="29" spans="1:17" ht="27.6" x14ac:dyDescent="0.25">
      <c r="A29" s="6" t="s">
        <v>69</v>
      </c>
      <c r="B29" s="6"/>
      <c r="C29" t="s">
        <v>3</v>
      </c>
      <c r="D29" t="s">
        <v>3</v>
      </c>
      <c r="F29" t="s">
        <v>3</v>
      </c>
      <c r="H29" s="6" t="s">
        <v>69</v>
      </c>
      <c r="I29" s="6" t="s">
        <v>113</v>
      </c>
      <c r="J29" s="1" t="s">
        <v>121</v>
      </c>
      <c r="K29" t="s">
        <v>126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t="str">
        <f t="shared" si="5"/>
        <v/>
      </c>
    </row>
    <row r="30" spans="1:17" ht="41.4" x14ac:dyDescent="0.25">
      <c r="A30" s="6" t="s">
        <v>67</v>
      </c>
      <c r="B30" s="6"/>
      <c r="C30" t="s">
        <v>3</v>
      </c>
      <c r="D30" t="s">
        <v>3</v>
      </c>
      <c r="F30" t="s">
        <v>3</v>
      </c>
      <c r="H30" s="6" t="s">
        <v>67</v>
      </c>
      <c r="I30" s="6" t="s">
        <v>113</v>
      </c>
      <c r="J30" s="1" t="s">
        <v>121</v>
      </c>
      <c r="K30" t="s">
        <v>4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  <c r="Q30" t="str">
        <f t="shared" si="5"/>
        <v/>
      </c>
    </row>
    <row r="31" spans="1:17" ht="41.4" x14ac:dyDescent="0.25">
      <c r="A31" s="6" t="s">
        <v>65</v>
      </c>
      <c r="B31" s="6"/>
      <c r="C31" t="s">
        <v>3</v>
      </c>
      <c r="D31" t="s">
        <v>3</v>
      </c>
      <c r="F31" t="s">
        <v>3</v>
      </c>
      <c r="H31" s="6" t="s">
        <v>65</v>
      </c>
      <c r="I31" s="6" t="s">
        <v>113</v>
      </c>
      <c r="J31" s="1" t="s">
        <v>121</v>
      </c>
      <c r="K31" t="s">
        <v>4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  <c r="Q31" t="str">
        <f t="shared" si="5"/>
        <v/>
      </c>
    </row>
    <row r="32" spans="1:17" ht="41.4" x14ac:dyDescent="0.25">
      <c r="A32" s="6" t="s">
        <v>63</v>
      </c>
      <c r="B32" s="6"/>
      <c r="C32" t="s">
        <v>3</v>
      </c>
      <c r="D32" s="1"/>
      <c r="F32" t="s">
        <v>3</v>
      </c>
      <c r="H32" s="6" t="s">
        <v>63</v>
      </c>
      <c r="I32" s="6" t="s">
        <v>114</v>
      </c>
      <c r="J32" s="1" t="s">
        <v>4</v>
      </c>
      <c r="K32" s="1" t="s">
        <v>127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  <c r="Q32" t="str">
        <f t="shared" si="5"/>
        <v/>
      </c>
    </row>
    <row r="33" spans="1:17" ht="27.6" x14ac:dyDescent="0.25">
      <c r="A33" s="6" t="s">
        <v>105</v>
      </c>
      <c r="B33" s="6"/>
      <c r="C33" t="s">
        <v>3</v>
      </c>
      <c r="D33" t="s">
        <v>3</v>
      </c>
      <c r="F33" t="s">
        <v>3</v>
      </c>
      <c r="H33" s="6" t="s">
        <v>105</v>
      </c>
      <c r="I33" s="6" t="s">
        <v>113</v>
      </c>
      <c r="J33" s="1" t="s">
        <v>121</v>
      </c>
      <c r="K33" t="s">
        <v>4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t="str">
        <f t="shared" si="5"/>
        <v/>
      </c>
    </row>
    <row r="34" spans="1:17" ht="41.4" x14ac:dyDescent="0.25">
      <c r="A34" s="6" t="s">
        <v>106</v>
      </c>
      <c r="B34" s="6"/>
      <c r="C34" t="s">
        <v>3</v>
      </c>
      <c r="D34" s="1"/>
      <c r="F34" t="s">
        <v>3</v>
      </c>
      <c r="H34" s="6" t="s">
        <v>106</v>
      </c>
      <c r="I34" s="6" t="s">
        <v>113</v>
      </c>
      <c r="J34" s="1" t="s">
        <v>121</v>
      </c>
      <c r="K34" s="1" t="s">
        <v>126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t="str">
        <f t="shared" si="5"/>
        <v/>
      </c>
    </row>
    <row r="35" spans="1:17" ht="27.6" x14ac:dyDescent="0.25">
      <c r="A35" s="6" t="s">
        <v>107</v>
      </c>
      <c r="B35" s="6"/>
      <c r="C35" t="s">
        <v>3</v>
      </c>
      <c r="D35" s="1"/>
      <c r="F35" t="s">
        <v>3</v>
      </c>
      <c r="H35" s="6" t="s">
        <v>107</v>
      </c>
      <c r="I35" s="6" t="s">
        <v>113</v>
      </c>
      <c r="J35" s="1" t="s">
        <v>121</v>
      </c>
      <c r="K35" s="1" t="s">
        <v>4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t="str">
        <f t="shared" si="5"/>
        <v/>
      </c>
    </row>
    <row r="36" spans="1:17" ht="27.6" x14ac:dyDescent="0.25">
      <c r="A36" s="6" t="s">
        <v>61</v>
      </c>
      <c r="B36" s="6"/>
      <c r="C36" t="s">
        <v>3</v>
      </c>
      <c r="D36" s="1"/>
      <c r="E36" t="s">
        <v>3</v>
      </c>
      <c r="H36" s="6" t="s">
        <v>136</v>
      </c>
      <c r="I36" s="6" t="s">
        <v>113</v>
      </c>
      <c r="J36" s="1" t="s">
        <v>4</v>
      </c>
      <c r="K36" s="1" t="s">
        <v>4</v>
      </c>
      <c r="L36" t="str">
        <f t="shared" si="0"/>
        <v/>
      </c>
      <c r="M36" t="str">
        <f t="shared" si="1"/>
        <v/>
      </c>
      <c r="N36" t="str">
        <f t="shared" si="2"/>
        <v/>
      </c>
      <c r="O36" t="str">
        <f t="shared" si="3"/>
        <v/>
      </c>
      <c r="P36" t="str">
        <f t="shared" si="4"/>
        <v/>
      </c>
      <c r="Q36" t="str">
        <f t="shared" si="5"/>
        <v/>
      </c>
    </row>
    <row r="37" spans="1:17" ht="27.6" x14ac:dyDescent="0.25">
      <c r="A37" s="6" t="s">
        <v>59</v>
      </c>
      <c r="B37" s="6"/>
      <c r="C37" t="s">
        <v>3</v>
      </c>
      <c r="D37" s="1" t="s">
        <v>3</v>
      </c>
      <c r="E37" t="s">
        <v>3</v>
      </c>
      <c r="G37" t="s">
        <v>3</v>
      </c>
      <c r="H37" s="6" t="s">
        <v>137</v>
      </c>
      <c r="I37" s="6" t="s">
        <v>113</v>
      </c>
      <c r="J37" s="1" t="s">
        <v>121</v>
      </c>
      <c r="K37" s="1" t="s">
        <v>117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t="str">
        <f t="shared" si="5"/>
        <v/>
      </c>
    </row>
    <row r="38" spans="1:17" ht="27.6" x14ac:dyDescent="0.25">
      <c r="A38" s="6" t="s">
        <v>57</v>
      </c>
      <c r="B38" s="6"/>
      <c r="C38" t="s">
        <v>3</v>
      </c>
      <c r="E38" t="s">
        <v>3</v>
      </c>
      <c r="H38" s="6" t="s">
        <v>138</v>
      </c>
      <c r="I38" s="6" t="s">
        <v>113</v>
      </c>
      <c r="J38" s="1" t="s">
        <v>122</v>
      </c>
      <c r="K38" s="1" t="s">
        <v>118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t="str">
        <f t="shared" si="5"/>
        <v/>
      </c>
    </row>
    <row r="39" spans="1:17" ht="27.6" x14ac:dyDescent="0.25">
      <c r="A39" s="6" t="s">
        <v>55</v>
      </c>
      <c r="B39" s="6"/>
      <c r="C39" t="s">
        <v>3</v>
      </c>
      <c r="D39" s="1"/>
      <c r="E39" t="s">
        <v>3</v>
      </c>
      <c r="H39" s="6" t="s">
        <v>139</v>
      </c>
      <c r="I39" s="6" t="s">
        <v>4</v>
      </c>
      <c r="J39" s="1" t="s">
        <v>4</v>
      </c>
      <c r="K39" s="1" t="s">
        <v>118</v>
      </c>
      <c r="L39" t="str">
        <f t="shared" si="0"/>
        <v/>
      </c>
      <c r="M39" t="str">
        <f t="shared" si="1"/>
        <v>√</v>
      </c>
      <c r="N39" t="str">
        <f t="shared" si="2"/>
        <v/>
      </c>
      <c r="O39" t="str">
        <f t="shared" si="3"/>
        <v>√</v>
      </c>
      <c r="P39" t="str">
        <f t="shared" si="4"/>
        <v/>
      </c>
      <c r="Q39" t="str">
        <f t="shared" si="5"/>
        <v/>
      </c>
    </row>
    <row r="40" spans="1:17" ht="27.6" x14ac:dyDescent="0.25">
      <c r="A40" s="6" t="s">
        <v>53</v>
      </c>
      <c r="B40" s="6"/>
      <c r="C40" t="s">
        <v>3</v>
      </c>
      <c r="E40" t="s">
        <v>3</v>
      </c>
      <c r="G40" t="s">
        <v>3</v>
      </c>
      <c r="H40" s="6" t="s">
        <v>140</v>
      </c>
      <c r="I40" s="6" t="s">
        <v>113</v>
      </c>
      <c r="J40" s="1" t="s">
        <v>121</v>
      </c>
      <c r="K40" s="1" t="s">
        <v>4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/>
      </c>
      <c r="P40" t="str">
        <f t="shared" si="4"/>
        <v/>
      </c>
      <c r="Q40" t="str">
        <f t="shared" si="5"/>
        <v/>
      </c>
    </row>
    <row r="41" spans="1:17" ht="41.4" x14ac:dyDescent="0.25">
      <c r="A41" s="6" t="s">
        <v>51</v>
      </c>
      <c r="B41" s="6"/>
      <c r="C41" t="s">
        <v>3</v>
      </c>
      <c r="D41" s="1"/>
      <c r="E41" t="s">
        <v>3</v>
      </c>
      <c r="H41" s="6" t="s">
        <v>141</v>
      </c>
      <c r="I41" s="6" t="s">
        <v>113</v>
      </c>
      <c r="J41" s="1" t="s">
        <v>124</v>
      </c>
      <c r="K41" s="1" t="s">
        <v>118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</row>
    <row r="42" spans="1:17" ht="27.6" x14ac:dyDescent="0.25">
      <c r="A42" s="6" t="s">
        <v>49</v>
      </c>
      <c r="B42" s="6"/>
      <c r="C42" t="s">
        <v>3</v>
      </c>
      <c r="D42" s="1" t="s">
        <v>3</v>
      </c>
      <c r="E42" t="s">
        <v>3</v>
      </c>
      <c r="H42" s="6" t="s">
        <v>142</v>
      </c>
      <c r="I42" s="6" t="s">
        <v>113</v>
      </c>
      <c r="J42" s="1" t="s">
        <v>122</v>
      </c>
      <c r="K42" s="1" t="s">
        <v>4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/>
      </c>
      <c r="P42" t="str">
        <f t="shared" si="4"/>
        <v/>
      </c>
      <c r="Q42" t="str">
        <f t="shared" si="5"/>
        <v/>
      </c>
    </row>
    <row r="43" spans="1:17" x14ac:dyDescent="0.25">
      <c r="A43" s="6" t="s">
        <v>47</v>
      </c>
      <c r="B43" s="6"/>
      <c r="C43" t="s">
        <v>3</v>
      </c>
      <c r="E43" t="s">
        <v>3</v>
      </c>
      <c r="H43" s="6" t="s">
        <v>143</v>
      </c>
      <c r="I43" s="6" t="s">
        <v>113</v>
      </c>
      <c r="J43" s="1" t="s">
        <v>4</v>
      </c>
      <c r="K43" s="1" t="s">
        <v>4</v>
      </c>
      <c r="L43" t="str">
        <f t="shared" si="0"/>
        <v/>
      </c>
      <c r="M43" t="str">
        <f t="shared" si="1"/>
        <v/>
      </c>
      <c r="N43" t="str">
        <f t="shared" si="2"/>
        <v/>
      </c>
      <c r="O43" t="str">
        <f t="shared" si="3"/>
        <v/>
      </c>
      <c r="P43" t="str">
        <f t="shared" si="4"/>
        <v/>
      </c>
      <c r="Q43" t="str">
        <f t="shared" si="5"/>
        <v/>
      </c>
    </row>
    <row r="44" spans="1:17" ht="55.2" x14ac:dyDescent="0.25">
      <c r="A44" s="6" t="s">
        <v>45</v>
      </c>
      <c r="B44" s="6"/>
      <c r="C44" t="s">
        <v>3</v>
      </c>
      <c r="E44" t="s">
        <v>3</v>
      </c>
      <c r="H44" s="6" t="s">
        <v>135</v>
      </c>
      <c r="I44" s="6" t="s">
        <v>113</v>
      </c>
      <c r="J44" s="1" t="s">
        <v>121</v>
      </c>
      <c r="K44" s="1" t="s">
        <v>4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t="str">
        <f t="shared" si="5"/>
        <v/>
      </c>
    </row>
    <row r="45" spans="1:17" ht="27.6" x14ac:dyDescent="0.25">
      <c r="A45" s="6" t="s">
        <v>43</v>
      </c>
      <c r="B45" s="6"/>
      <c r="C45" t="s">
        <v>3</v>
      </c>
      <c r="E45" t="s">
        <v>3</v>
      </c>
      <c r="H45" s="6" t="s">
        <v>134</v>
      </c>
      <c r="I45" s="6" t="s">
        <v>113</v>
      </c>
      <c r="J45" s="1" t="s">
        <v>4</v>
      </c>
      <c r="K45" s="1" t="s">
        <v>118</v>
      </c>
      <c r="L45" t="str">
        <f t="shared" si="0"/>
        <v/>
      </c>
      <c r="M45" t="str">
        <f t="shared" si="1"/>
        <v/>
      </c>
      <c r="N45" t="str">
        <f t="shared" si="2"/>
        <v/>
      </c>
      <c r="O45" t="str">
        <f t="shared" si="3"/>
        <v/>
      </c>
      <c r="P45" t="str">
        <f t="shared" si="4"/>
        <v/>
      </c>
      <c r="Q45" t="str">
        <f t="shared" si="5"/>
        <v/>
      </c>
    </row>
    <row r="46" spans="1:17" ht="27.6" x14ac:dyDescent="0.25">
      <c r="A46" s="6" t="s">
        <v>41</v>
      </c>
      <c r="B46" s="6"/>
      <c r="C46" t="s">
        <v>3</v>
      </c>
      <c r="E46" t="s">
        <v>3</v>
      </c>
      <c r="G46" t="s">
        <v>3</v>
      </c>
      <c r="H46" s="6" t="s">
        <v>133</v>
      </c>
      <c r="I46" s="6" t="s">
        <v>113</v>
      </c>
      <c r="J46" s="1" t="s">
        <v>121</v>
      </c>
      <c r="K46" s="1" t="s">
        <v>119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t="str">
        <f t="shared" si="5"/>
        <v/>
      </c>
    </row>
    <row r="47" spans="1:17" ht="27.6" x14ac:dyDescent="0.25">
      <c r="A47" s="6" t="s">
        <v>39</v>
      </c>
      <c r="B47" s="6"/>
      <c r="C47" t="s">
        <v>3</v>
      </c>
      <c r="D47" s="1"/>
      <c r="E47" t="s">
        <v>3</v>
      </c>
      <c r="H47" s="6" t="s">
        <v>132</v>
      </c>
      <c r="I47" s="6" t="s">
        <v>113</v>
      </c>
      <c r="J47" s="1" t="s">
        <v>4</v>
      </c>
      <c r="K47" s="1" t="s">
        <v>118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/>
      </c>
      <c r="P47" t="str">
        <f t="shared" si="4"/>
        <v/>
      </c>
      <c r="Q47" t="str">
        <f t="shared" si="5"/>
        <v/>
      </c>
    </row>
    <row r="48" spans="1:17" ht="27.6" x14ac:dyDescent="0.25">
      <c r="A48" s="6" t="s">
        <v>37</v>
      </c>
      <c r="B48" s="6"/>
      <c r="C48" t="s">
        <v>4</v>
      </c>
      <c r="E48" t="s">
        <v>3</v>
      </c>
      <c r="H48" s="6" t="s">
        <v>131</v>
      </c>
      <c r="I48" s="6" t="s">
        <v>113</v>
      </c>
      <c r="J48" t="s">
        <v>123</v>
      </c>
      <c r="K48" s="1" t="s">
        <v>118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t="str">
        <f t="shared" si="5"/>
        <v/>
      </c>
    </row>
    <row r="49" spans="1:17" ht="41.4" x14ac:dyDescent="0.25">
      <c r="A49" s="6" t="s">
        <v>35</v>
      </c>
      <c r="B49" s="6"/>
      <c r="C49" t="s">
        <v>3</v>
      </c>
      <c r="D49" s="1"/>
      <c r="E49" t="s">
        <v>3</v>
      </c>
      <c r="H49" s="6" t="s">
        <v>130</v>
      </c>
      <c r="I49" s="6" t="s">
        <v>113</v>
      </c>
      <c r="J49" s="1" t="s">
        <v>120</v>
      </c>
      <c r="K49" s="1" t="s">
        <v>120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t="str">
        <f t="shared" si="5"/>
        <v/>
      </c>
    </row>
    <row r="50" spans="1:17" ht="27.6" x14ac:dyDescent="0.25">
      <c r="A50" s="6" t="s">
        <v>32</v>
      </c>
      <c r="B50" s="6"/>
      <c r="C50" t="s">
        <v>3</v>
      </c>
      <c r="D50" s="1"/>
      <c r="E50" t="s">
        <v>3</v>
      </c>
      <c r="H50" s="6" t="s">
        <v>129</v>
      </c>
      <c r="I50" s="6" t="s">
        <v>113</v>
      </c>
      <c r="J50" s="1" t="s">
        <v>121</v>
      </c>
      <c r="K50" s="1" t="s">
        <v>4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/>
      </c>
      <c r="P50" t="str">
        <f t="shared" si="4"/>
        <v/>
      </c>
      <c r="Q50" t="str">
        <f t="shared" si="5"/>
        <v/>
      </c>
    </row>
    <row r="51" spans="1:17" ht="27.6" x14ac:dyDescent="0.25">
      <c r="A51" s="6" t="s">
        <v>31</v>
      </c>
      <c r="B51" s="6"/>
      <c r="C51" t="s">
        <v>3</v>
      </c>
      <c r="D51" s="1"/>
      <c r="E51" t="s">
        <v>3</v>
      </c>
      <c r="H51" s="6" t="s">
        <v>128</v>
      </c>
      <c r="I51" s="6" t="s">
        <v>113</v>
      </c>
      <c r="J51" s="1" t="s">
        <v>4</v>
      </c>
      <c r="K51" s="1" t="s">
        <v>118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/>
      </c>
      <c r="P51" t="str">
        <f t="shared" si="4"/>
        <v/>
      </c>
      <c r="Q51" t="str">
        <f t="shared" si="5"/>
        <v/>
      </c>
    </row>
    <row r="52" spans="1:17" x14ac:dyDescent="0.25">
      <c r="A52" s="1"/>
      <c r="B52" s="1">
        <f>COUNTA(B2:B51)</f>
        <v>12</v>
      </c>
      <c r="C52" s="1">
        <f>COUNTA(C2:C51)</f>
        <v>38</v>
      </c>
      <c r="D52" s="1">
        <f t="shared" ref="D52:G52" si="6">COUNTA(D2:D51)</f>
        <v>21</v>
      </c>
      <c r="E52" s="1">
        <f t="shared" si="6"/>
        <v>16</v>
      </c>
      <c r="F52" s="1">
        <f t="shared" si="6"/>
        <v>9</v>
      </c>
      <c r="G52" s="1">
        <f t="shared" si="6"/>
        <v>11</v>
      </c>
      <c r="H52" s="1"/>
      <c r="I52" s="1">
        <f>COUNTIF(I2:I51,"√")</f>
        <v>10</v>
      </c>
      <c r="J52" s="1">
        <f t="shared" ref="J52:Q52" si="7">COUNTIF(J2:J51,"√")</f>
        <v>19</v>
      </c>
      <c r="K52" s="1">
        <f t="shared" si="7"/>
        <v>31</v>
      </c>
      <c r="L52" s="1">
        <f t="shared" si="7"/>
        <v>8</v>
      </c>
      <c r="M52" s="1">
        <f t="shared" si="7"/>
        <v>2</v>
      </c>
      <c r="N52" s="1">
        <f t="shared" si="7"/>
        <v>1</v>
      </c>
      <c r="O52" s="1">
        <f t="shared" si="7"/>
        <v>1</v>
      </c>
      <c r="P52" s="1">
        <f t="shared" si="7"/>
        <v>0</v>
      </c>
      <c r="Q52" s="1">
        <f t="shared" si="7"/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758-1471-410E-8794-4159BDAD7B94}">
  <dimension ref="A1:G13"/>
  <sheetViews>
    <sheetView tabSelected="1" workbookViewId="0">
      <selection activeCell="F20" sqref="F20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22.33203125" customWidth="1"/>
  </cols>
  <sheetData>
    <row r="1" spans="1:7" x14ac:dyDescent="0.25">
      <c r="B1" s="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</row>
    <row r="2" spans="1:7" x14ac:dyDescent="0.25">
      <c r="A2" t="s">
        <v>110</v>
      </c>
      <c r="B2">
        <v>83.333333333333343</v>
      </c>
      <c r="C2">
        <v>55.26315789473685</v>
      </c>
      <c r="D2">
        <v>71.428571428571431</v>
      </c>
      <c r="E2">
        <v>37.5</v>
      </c>
      <c r="F2">
        <v>66.666666666666657</v>
      </c>
      <c r="G2">
        <v>54.54545454545454</v>
      </c>
    </row>
    <row r="3" spans="1:7" x14ac:dyDescent="0.25">
      <c r="A3" t="s">
        <v>145</v>
      </c>
      <c r="B3">
        <v>83.333333333333343</v>
      </c>
      <c r="C3">
        <v>23.684210526315788</v>
      </c>
      <c r="D3">
        <v>9.5238095238095237</v>
      </c>
      <c r="E3">
        <v>37.5</v>
      </c>
      <c r="F3">
        <v>11.111111111111111</v>
      </c>
      <c r="G3">
        <v>27.27272727272727</v>
      </c>
    </row>
    <row r="4" spans="1:7" x14ac:dyDescent="0.25">
      <c r="A4" t="s">
        <v>146</v>
      </c>
      <c r="B4">
        <v>66.666666666666657</v>
      </c>
      <c r="C4">
        <v>5.2631578947368416</v>
      </c>
      <c r="D4">
        <v>4.7619047619047619</v>
      </c>
      <c r="E4">
        <v>6.25</v>
      </c>
      <c r="F4">
        <v>0</v>
      </c>
      <c r="G4">
        <v>27.27272727272727</v>
      </c>
    </row>
    <row r="6" spans="1:7" x14ac:dyDescent="0.25">
      <c r="B6">
        <v>10</v>
      </c>
      <c r="C6">
        <v>21</v>
      </c>
      <c r="D6">
        <v>15</v>
      </c>
      <c r="E6">
        <v>6</v>
      </c>
      <c r="F6">
        <v>6</v>
      </c>
      <c r="G6">
        <v>6</v>
      </c>
    </row>
    <row r="7" spans="1:7" x14ac:dyDescent="0.25">
      <c r="B7">
        <v>10</v>
      </c>
      <c r="C7">
        <v>9</v>
      </c>
      <c r="D7">
        <v>2</v>
      </c>
      <c r="E7">
        <v>6</v>
      </c>
      <c r="F7">
        <v>1</v>
      </c>
      <c r="G7">
        <v>3</v>
      </c>
    </row>
    <row r="8" spans="1:7" x14ac:dyDescent="0.25">
      <c r="B8" s="1">
        <v>8</v>
      </c>
      <c r="C8" s="1">
        <v>2</v>
      </c>
      <c r="D8" s="1">
        <v>1</v>
      </c>
      <c r="E8" s="1">
        <v>1</v>
      </c>
      <c r="F8" s="1">
        <v>0</v>
      </c>
      <c r="G8" s="1">
        <v>3</v>
      </c>
    </row>
    <row r="10" spans="1:7" x14ac:dyDescent="0.25">
      <c r="B10">
        <v>12</v>
      </c>
      <c r="C10">
        <v>38</v>
      </c>
      <c r="D10">
        <v>21</v>
      </c>
      <c r="E10">
        <v>16</v>
      </c>
      <c r="F10">
        <v>9</v>
      </c>
      <c r="G10">
        <v>11</v>
      </c>
    </row>
    <row r="11" spans="1:7" x14ac:dyDescent="0.25">
      <c r="A11" t="s">
        <v>144</v>
      </c>
      <c r="B11">
        <f>B6/B10*100</f>
        <v>83.333333333333343</v>
      </c>
      <c r="C11">
        <f t="shared" ref="C11:G11" si="0">C6/C10*100</f>
        <v>55.26315789473685</v>
      </c>
      <c r="D11">
        <f t="shared" si="0"/>
        <v>71.428571428571431</v>
      </c>
      <c r="E11">
        <f t="shared" si="0"/>
        <v>37.5</v>
      </c>
      <c r="F11">
        <f t="shared" si="0"/>
        <v>66.666666666666657</v>
      </c>
      <c r="G11">
        <f t="shared" si="0"/>
        <v>54.54545454545454</v>
      </c>
    </row>
    <row r="12" spans="1:7" x14ac:dyDescent="0.25">
      <c r="B12">
        <f>B7/B10*100</f>
        <v>83.333333333333343</v>
      </c>
      <c r="C12">
        <f t="shared" ref="C12:F12" si="1">C7/C10*100</f>
        <v>23.684210526315788</v>
      </c>
      <c r="D12">
        <f t="shared" si="1"/>
        <v>9.5238095238095237</v>
      </c>
      <c r="E12">
        <f t="shared" si="1"/>
        <v>37.5</v>
      </c>
      <c r="F12">
        <f t="shared" si="1"/>
        <v>11.111111111111111</v>
      </c>
      <c r="G12">
        <f>G7/G10*100</f>
        <v>27.27272727272727</v>
      </c>
    </row>
    <row r="13" spans="1:7" x14ac:dyDescent="0.25">
      <c r="B13">
        <f>B8/B10*100</f>
        <v>66.666666666666657</v>
      </c>
      <c r="C13">
        <f t="shared" ref="C13:F13" si="2">C8/C10*100</f>
        <v>5.2631578947368416</v>
      </c>
      <c r="D13">
        <f t="shared" si="2"/>
        <v>4.7619047619047619</v>
      </c>
      <c r="E13">
        <f t="shared" si="2"/>
        <v>6.25</v>
      </c>
      <c r="F13">
        <f t="shared" si="2"/>
        <v>0</v>
      </c>
      <c r="G13">
        <f>G8/G10*100</f>
        <v>27.27272727272727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测试任务集 (新标签)</vt:lpstr>
      <vt:lpstr>实验结果统计</vt:lpstr>
      <vt:lpstr>our</vt:lpstr>
      <vt:lpstr>sage</vt:lpstr>
      <vt:lpstr>sasha</vt:lpstr>
      <vt:lpstr>雷达图 (百分比)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2026-01-19T14:01:12Z</dcterms:modified>
</cp:coreProperties>
</file>